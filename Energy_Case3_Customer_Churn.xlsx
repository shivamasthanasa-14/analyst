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Market Context &amp; Assumptions" sheetId="2" state="visible" r:id="rId4"/>
    <sheet name="2. Churn Trend Analysis" sheetId="3" state="visible" r:id="rId5"/>
    <sheet name="3. Customer Segmentation" sheetId="4" state="visible" r:id="rId6"/>
    <sheet name="4. Churn Driver Analysis" sheetId="5" state="visible" r:id="rId7"/>
    <sheet name="5. Retention Value Model" sheetId="6" state="visible" r:id="rId8"/>
    <sheet name="6. 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<sst xmlns="http://schemas.openxmlformats.org/spreadsheetml/2006/main" count="206" uniqueCount="180">
  <si>
    <t xml:space="preserve">Who Is About to Leave — and Why?</t>
  </si>
  <si>
    <t xml:space="preserve">Customer Churn &amp; Affordability Segmentation — German Energy Retail</t>
  </si>
  <si>
    <t xml:space="preserve">Sector</t>
  </si>
  <si>
    <t xml:space="preserve">Energy Retail — German Residential &amp; SME Market</t>
  </si>
  <si>
    <t xml:space="preserve">Customer Base</t>
  </si>
  <si>
    <t xml:space="preserve">200,000 households and SME customers</t>
  </si>
  <si>
    <t xml:space="preserve">Churn Trend</t>
  </si>
  <si>
    <t xml:space="preserve">8% (2021) → 14% (2023) — 28,000 customers lost annually</t>
  </si>
  <si>
    <t xml:space="preserve">Market Context</t>
  </si>
  <si>
    <t xml:space="preserve">Post-2022 energy crisis — suppressed switching releasing</t>
  </si>
  <si>
    <t xml:space="preserve">Key Finding</t>
  </si>
  <si>
    <t xml:space="preserve">Churn risk and affordability risk require different interventions</t>
  </si>
  <si>
    <t xml:space="preserve">Data Sources</t>
  </si>
  <si>
    <t xml:space="preserve">Bundesnetzagentur · Frontiers Sustainable Cities · MVV Energie · BDEW</t>
  </si>
  <si>
    <t xml:space="preserve">Contents</t>
  </si>
  <si>
    <t xml:space="preserve">1. Market Context &amp; Assumptions</t>
  </si>
  <si>
    <t xml:space="preserve">German energy retail churn benchmarks and key assumptions</t>
  </si>
  <si>
    <t xml:space="preserve">2. Churn Trend Analysis</t>
  </si>
  <si>
    <t xml:space="preserve">Annual churn by customer segment 2020–2023 vs market average</t>
  </si>
  <si>
    <t xml:space="preserve">3. Customer Segmentation</t>
  </si>
  <si>
    <t xml:space="preserve">Four-quadrant segmentation: churn risk vs affordability vulnerability</t>
  </si>
  <si>
    <t xml:space="preserve">4. Churn Driver Analysis</t>
  </si>
  <si>
    <t xml:space="preserve">Primary reasons for departure by customer segment</t>
  </si>
  <si>
    <t xml:space="preserve">5. Retention Value Model</t>
  </si>
  <si>
    <t xml:space="preserve">Intervention cost vs retention value by segment</t>
  </si>
  <si>
    <t xml:space="preserve">6. Dashboard</t>
  </si>
  <si>
    <t xml:space="preserve">Summary KPIs, segment overview, and recommendations</t>
  </si>
  <si>
    <t xml:space="preserve">Market Context &amp; Model Assumptions</t>
  </si>
  <si>
    <t xml:space="preserve">A — GERMAN ENERGY RETAIL MARKET BENCHMARKS</t>
  </si>
  <si>
    <t xml:space="preserve">Metric</t>
  </si>
  <si>
    <t xml:space="preserve">Value</t>
  </si>
  <si>
    <t xml:space="preserve">Source</t>
  </si>
  <si>
    <t xml:space="preserve">Pre-crisis churn rate (baseline)</t>
  </si>
  <si>
    <t xml:space="preserve">~11%</t>
  </si>
  <si>
    <t xml:space="preserve">BNA/BKA Monitoring Report 2018; ResearchGate competition study</t>
  </si>
  <si>
    <t xml:space="preserve">Supplier switching 2022</t>
  </si>
  <si>
    <t xml:space="preserve">~4 million customers (−16% YoY)</t>
  </si>
  <si>
    <t xml:space="preserve">Bundesnetzagentur Monitoring Report 2023</t>
  </si>
  <si>
    <t xml:space="preserve">Supplier switching 2024</t>
  </si>
  <si>
    <t xml:space="preserve">~7.1 million customers</t>
  </si>
  <si>
    <t xml:space="preserve">Bundesnetzagentur Monitoring Report 2025</t>
  </si>
  <si>
    <t xml:space="preserve">Electricity disconnections 2022</t>
  </si>
  <si>
    <t xml:space="preserve">~209,000 (−11% YoY)</t>
  </si>
  <si>
    <t xml:space="preserve">Avg suppliers per grid zone</t>
  </si>
  <si>
    <t xml:space="preserve">~130 retail suppliers</t>
  </si>
  <si>
    <t xml:space="preserve">BNA competition monitoring data</t>
  </si>
  <si>
    <t xml:space="preserve">Households at energy poverty risk (2022)</t>
  </si>
  <si>
    <t xml:space="preserve">10.4% (low income); 16.8% (incl. lower-middle)</t>
  </si>
  <si>
    <t xml:space="preserve">Frontiers in Sustainable Cities, 2022</t>
  </si>
  <si>
    <t xml:space="preserve">Average residential customer margin</t>
  </si>
  <si>
    <t xml:space="preserve">~€85/year</t>
  </si>
  <si>
    <t xml:space="preserve">BDEW retail market data; estimated competitive tariff margin</t>
  </si>
  <si>
    <t xml:space="preserve">Average SME customer margin</t>
  </si>
  <si>
    <t xml:space="preserve">~€220/year</t>
  </si>
  <si>
    <t xml:space="preserve">BDEW commercial segment data</t>
  </si>
  <si>
    <t xml:space="preserve">B — CASE ASSUMPTIONS</t>
  </si>
  <si>
    <t xml:space="preserve">Parameter</t>
  </si>
  <si>
    <t xml:space="preserve">Rationale</t>
  </si>
  <si>
    <t xml:space="preserve">Total customer base</t>
  </si>
  <si>
    <t xml:space="preserve">200,000</t>
  </si>
  <si>
    <t xml:space="preserve">Representative mid-sized German regional energy supplier</t>
  </si>
  <si>
    <t xml:space="preserve">Churn 2021 (baseline)</t>
  </si>
  <si>
    <t xml:space="preserve">8%</t>
  </si>
  <si>
    <t xml:space="preserve">Pre-crisis baseline — below market avg reflecting supplier loyalty retention</t>
  </si>
  <si>
    <t xml:space="preserve">Churn 2023 (current)</t>
  </si>
  <si>
    <t xml:space="preserve">14%</t>
  </si>
  <si>
    <t xml:space="preserve">Post-crisis contract expiry surge — customers switching after expensive 2022 lock-in</t>
  </si>
  <si>
    <t xml:space="preserve">Annual customers churned</t>
  </si>
  <si>
    <t xml:space="preserve">~28,000</t>
  </si>
  <si>
    <t xml:space="preserve">14% × 200,000 customer base</t>
  </si>
  <si>
    <t xml:space="preserve">Annual churn revenue loss</t>
  </si>
  <si>
    <t xml:space="preserve">~€2.4M</t>
  </si>
  <si>
    <t xml:space="preserve">28,000 × €85 average margin</t>
  </si>
  <si>
    <t xml:space="preserve">Switcher segment size</t>
  </si>
  <si>
    <t xml:space="preserve">~42,000</t>
  </si>
  <si>
    <t xml:space="preserve">Price-sensitive, financially stable — primary competitive churn risk</t>
  </si>
  <si>
    <t xml:space="preserve">Vulnerable Loyal segment</t>
  </si>
  <si>
    <t xml:space="preserve">Affordability-stressed, low switching propensity — default tariff overpayers</t>
  </si>
  <si>
    <t xml:space="preserve">At-Risk Vulnerable segment</t>
  </si>
  <si>
    <t xml:space="preserve">~18,000</t>
  </si>
  <si>
    <t xml:space="preserve">High churn AND affordability stress — dual intervention required</t>
  </si>
  <si>
    <t xml:space="preserve">Stable Base segment</t>
  </si>
  <si>
    <t xml:space="preserve">~112,000</t>
  </si>
  <si>
    <t xml:space="preserve">Low churn risk, stable finances — monitor only</t>
  </si>
  <si>
    <t xml:space="preserve">Annual Churn Rate by Customer Segment — 2020 to 2023</t>
  </si>
  <si>
    <t xml:space="preserve">Market average from Bundesnetzagentur Monitoring Reports. Spike in fixed-contract churn in 2023 reflects suppressed switching from 2022 crisis releasing as contracts expired.</t>
  </si>
  <si>
    <t xml:space="preserve">Segment</t>
  </si>
  <si>
    <t xml:space="preserve">2020</t>
  </si>
  <si>
    <t xml:space="preserve">2021</t>
  </si>
  <si>
    <t xml:space="preserve">2022</t>
  </si>
  <si>
    <t xml:space="preserve">2023</t>
  </si>
  <si>
    <t xml:space="preserve">Key Driver</t>
  </si>
  <si>
    <t xml:space="preserve">Fixed Contract Residential</t>
  </si>
  <si>
    <t xml:space="preserve">Crisis lock-in → mass expiry switch 2023</t>
  </si>
  <si>
    <t xml:space="preserve">Default Tariff Residential</t>
  </si>
  <si>
    <t xml:space="preserve">Steady outflow throughout — price unaffordability</t>
  </si>
  <si>
    <t xml:space="preserve">SME Customers</t>
  </si>
  <si>
    <t xml:space="preserve">Inert — switching complexity limits mobility</t>
  </si>
  <si>
    <t xml:space="preserve">Market Average (BNetzA)</t>
  </si>
  <si>
    <t xml:space="preserve">Bundesnetzagentur monitoring data</t>
  </si>
  <si>
    <t xml:space="preserve">Customer Segmentation — Churn Risk vs Affordability Vulnerability</t>
  </si>
  <si>
    <t xml:space="preserve">Four-quadrant model. Vulnerability thresholds calibrated to Frontiers in Sustainable Cities (2022): 10.4–16.8% of German households at energy poverty risk.</t>
  </si>
  <si>
    <t xml:space="preserve">Customers</t>
  </si>
  <si>
    <t xml:space="preserve">Churn Risk</t>
  </si>
  <si>
    <t xml:space="preserve">Affordability</t>
  </si>
  <si>
    <t xml:space="preserve">Primary Driver</t>
  </si>
  <si>
    <t xml:space="preserve">Intervention Strategy</t>
  </si>
  <si>
    <t xml:space="preserve">Switchers</t>
  </si>
  <si>
    <t xml:space="preserve">High</t>
  </si>
  <si>
    <t xml:space="preserve">Stable</t>
  </si>
  <si>
    <t xml:space="preserve">Price differential — can afford better deal elsewhere</t>
  </si>
  <si>
    <t xml:space="preserve">Proactive tariff offer 90 days before expiry</t>
  </si>
  <si>
    <t xml:space="preserve">Vulnerable Loyals</t>
  </si>
  <si>
    <t xml:space="preserve">Low</t>
  </si>
  <si>
    <t xml:space="preserve">Stressed</t>
  </si>
  <si>
    <t xml:space="preserve">Cannot switch easily — absolute affordability pressure on default tariff</t>
  </si>
  <si>
    <t xml:space="preserve">Social tariff + payment plan + emergency fund referral</t>
  </si>
  <si>
    <t xml:space="preserve">At-Risk Vulnerable</t>
  </si>
  <si>
    <t xml:space="preserve">Both price-sensitive AND financially stressed — dual risk</t>
  </si>
  <si>
    <t xml:space="preserve">Combined: affordable tariff + payment support + proactive outreach</t>
  </si>
  <si>
    <t xml:space="preserve">Stable Base</t>
  </si>
  <si>
    <t xml:space="preserve">Satisfied — not at immediate risk</t>
  </si>
  <si>
    <t xml:space="preserve">Standard renewal management. Monitor for segment migration.</t>
  </si>
  <si>
    <t xml:space="preserve">TOTAL</t>
  </si>
  <si>
    <t xml:space="preserve">Churn Driver Breakdown by Customer Segment — 2023</t>
  </si>
  <si>
    <t xml:space="preserve">Primary reason for departure from exit surveys and payment/complaint data analysis. Proportions are estimates calibrated to market research and Bundesnetzagentur market data.</t>
  </si>
  <si>
    <t xml:space="preserve">Churn Driver</t>
  </si>
  <si>
    <t xml:space="preserve">Fixed Contract
Residential</t>
  </si>
  <si>
    <t xml:space="preserve">Default Tariff
Residential</t>
  </si>
  <si>
    <t xml:space="preserve">Price — better deal elsewhere</t>
  </si>
  <si>
    <t xml:space="preserve">Absolute cost — cannot afford</t>
  </si>
  <si>
    <t xml:space="preserve">Contract expiry — natural switch</t>
  </si>
  <si>
    <t xml:space="preserve">Service dissatisfaction</t>
  </si>
  <si>
    <t xml:space="preserve">Relocation / other</t>
  </si>
  <si>
    <t xml:space="preserve">Intervention Cost vs Retention Value by Segment</t>
  </si>
  <si>
    <t xml:space="preserve">Retention value = (customers retained × annual margin × tenure extension) − intervention cost. Margin: residential €85/yr, SME €220/yr (BDEW). Per 1,000 customers at risk.</t>
  </si>
  <si>
    <t xml:space="preserve">Customers at Risk</t>
  </si>
  <si>
    <t xml:space="preserve">Intervention Type</t>
  </si>
  <si>
    <t xml:space="preserve">Cost/Customer (€)</t>
  </si>
  <si>
    <t xml:space="preserve">Retention Rate Est.</t>
  </si>
  <si>
    <t xml:space="preserve">Annual Margin (€)</t>
  </si>
  <si>
    <t xml:space="preserve">Tenure Extension (yrs)</t>
  </si>
  <si>
    <t xml:space="preserve">Net Value/Customer (€)</t>
  </si>
  <si>
    <t xml:space="preserve">Proactive tariff offer (automated)</t>
  </si>
  <si>
    <t xml:space="preserve">Social tariff + payment plan</t>
  </si>
  <si>
    <t xml:space="preserve">Combined affordability + retention</t>
  </si>
  <si>
    <t xml:space="preserve">Note: Switcher segment offers highest ROI (4.2×) at lowest complexity. At-Risk Vulnerable segment offers lower per-customer ROI but prevents dual default+churn loss — total value is higher when payment default cost is included.</t>
  </si>
  <si>
    <t xml:space="preserve">Who Is About to Leave — and Why? Dashboard</t>
  </si>
  <si>
    <t xml:space="preserve">Energy Case Study 03 · Customer Churn &amp; Affordability · Shivam Asthana</t>
  </si>
  <si>
    <t xml:space="preserve">KEY METRICS</t>
  </si>
  <si>
    <t xml:space="preserve">Current Churn Rate</t>
  </si>
  <si>
    <t xml:space="preserve">Annual Churn Cost</t>
  </si>
  <si>
    <t xml:space="preserve">At-Risk Customers</t>
  </si>
  <si>
    <t xml:space="preserve">Highest ROI Intervention</t>
  </si>
  <si>
    <t xml:space="preserve">88,000</t>
  </si>
  <si>
    <t xml:space="preserve">vs 8% in 2021 — 28,000 customers lost annually</t>
  </si>
  <si>
    <t xml:space="preserve">28,000 customers × €85 avg margin</t>
  </si>
  <si>
    <t xml:space="preserve">Switchers + Vulnerable Loyals + At-Risk Vulnerable</t>
  </si>
  <si>
    <t xml:space="preserve">4.2× ROI — proactive offer before contract expiry</t>
  </si>
  <si>
    <t xml:space="preserve">SEGMENT OVERVIEW</t>
  </si>
  <si>
    <t xml:space="preserve">Size</t>
  </si>
  <si>
    <t xml:space="preserve">Primary Risk</t>
  </si>
  <si>
    <t xml:space="preserve">Recommended Action</t>
  </si>
  <si>
    <t xml:space="preserve">High churn — competitive pricing</t>
  </si>
  <si>
    <t xml:space="preserve">Automate proactive offer 90 days before expiry</t>
  </si>
  <si>
    <t xml:space="preserve">Affordability stress — default tariff overpayers</t>
  </si>
  <si>
    <t xml:space="preserve">Migrate to competitive tariff + payment plan</t>
  </si>
  <si>
    <t xml:space="preserve">High churn AND affordability stress</t>
  </si>
  <si>
    <t xml:space="preserve">Combined: affordable tariff + payment support</t>
  </si>
  <si>
    <t xml:space="preserve">Low risk — monitor only</t>
  </si>
  <si>
    <t xml:space="preserve">Standard renewal. Flag deterioration signals.</t>
  </si>
  <si>
    <t xml:space="preserve">KEY FINDINGS</t>
  </si>
  <si>
    <t xml:space="preserve">Fixed-contract churn is market-driven</t>
  </si>
  <si>
    <t xml:space="preserve">Spike in 2023 reflects suppressed 2022 switching releasing — a market-wide phenomenon, not a supplier-specific failure. Response: proactive renewal offers.</t>
  </si>
  <si>
    <t xml:space="preserve">Default tariff churn is affordability-driven</t>
  </si>
  <si>
    <t xml:space="preserve">Steady outflow throughout 2022–2023 — customers on expensive default tariffs struggling with absolute cost, not just relative competitiveness.</t>
  </si>
  <si>
    <t xml:space="preserve">Retention budget was misallocated</t>
  </si>
  <si>
    <t xml:space="preserve">Competitive retention offers directed at At-Risk Vulnerable customers (who need affordability support) fail to retain and waste budget. Segmentation corrects this.</t>
  </si>
  <si>
    <t xml:space="preserve">Two problems need two different teams</t>
  </si>
  <si>
    <t xml:space="preserve">Churn prevention and affordability support require separate KPIs, separate budgets, and coordinated intervention — not a single retention call.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</si>
</sst>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"/>
    <numFmt numFmtId="167" formatCode="0%"/>
    <numFmt numFmtId="168" formatCode="\€#,##0"/>
    <numFmt numFmtId="169" formatCode="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C3F6E"/>
      <name val="Arial"/>
      <family val="0"/>
      <charset val="1"/>
    </font>
    <font>
      <sz val="12"/>
      <color rgb="FF6B6860"/>
      <name val="Arial"/>
      <family val="0"/>
      <charset val="1"/>
    </font>
    <font>
      <b val="true"/>
      <sz val="9"/>
      <color rgb="FF6B6860"/>
      <name val="Arial"/>
      <family val="0"/>
      <charset val="1"/>
    </font>
    <font>
      <sz val="9"/>
      <color rgb="FF181818"/>
      <name val="Arial"/>
      <family val="0"/>
      <charset val="1"/>
    </font>
    <font>
      <b val="true"/>
      <sz val="11"/>
      <color rgb="FF1C3F6E"/>
      <name val="Arial"/>
      <family val="0"/>
      <charset val="1"/>
    </font>
    <font>
      <b val="true"/>
      <sz val="9"/>
      <color rgb="FF1C3F6E"/>
      <name val="Arial"/>
      <family val="0"/>
      <charset val="1"/>
    </font>
    <font>
      <sz val="9"/>
      <color rgb="FF6B6860"/>
      <name val="Arial"/>
      <family val="0"/>
      <charset val="1"/>
    </font>
    <font>
      <b val="true"/>
      <sz val="13"/>
      <color rgb="FF1C3F6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6B6860"/>
      <name val="Arial"/>
      <family val="0"/>
      <charset val="1"/>
    </font>
    <font>
      <b val="true"/>
      <sz val="9"/>
      <color rgb="FF181818"/>
      <name val="Arial"/>
      <family val="0"/>
      <charset val="1"/>
    </font>
    <font>
      <b val="true"/>
      <sz val="9"/>
      <color rgb="FFC0392B"/>
      <name val="Arial"/>
      <family val="0"/>
      <charset val="1"/>
    </font>
    <font>
      <i val="true"/>
      <sz val="9"/>
      <color rgb="FF6B686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2E7D55"/>
      <name val="Arial"/>
      <family val="0"/>
      <charset val="1"/>
    </font>
    <font>
      <i val="true"/>
      <sz val="9"/>
      <color rgb="FF181818"/>
      <name val="Arial"/>
      <family val="0"/>
      <charset val="1"/>
    </font>
    <font>
      <b val="true"/>
      <sz val="9"/>
      <color rgb="FFC07A1A"/>
      <name val="Arial"/>
      <family val="0"/>
      <charset val="1"/>
    </font>
    <font>
      <b val="true"/>
      <sz val="15"/>
      <color rgb="FF1C3F6E"/>
      <name val="Arial"/>
      <family val="0"/>
      <charset val="1"/>
    </font>
    <font>
      <sz val="8"/>
      <color rgb="FF6B6860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1C3F6E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C3F6E"/>
        <bgColor rgb="FF333300"/>
      </patternFill>
    </fill>
    <fill>
      <patternFill patternType="solid">
        <fgColor rgb="FFFDECEA"/>
        <bgColor rgb="FFF5E6E6"/>
      </patternFill>
    </fill>
    <fill>
      <patternFill patternType="solid">
        <fgColor rgb="FFFDF5E6"/>
        <bgColor rgb="FFF5F4F0"/>
      </patternFill>
    </fill>
    <fill>
      <patternFill patternType="solid">
        <fgColor rgb="FFEBF5EF"/>
        <bgColor rgb="FFEBF4FA"/>
      </patternFill>
    </fill>
    <fill>
      <patternFill patternType="solid">
        <fgColor rgb="FFEBF2FA"/>
        <bgColor rgb="FFEBF4FA"/>
      </patternFill>
    </fill>
    <fill>
      <patternFill patternType="solid">
        <fgColor rgb="FFF5E6E6"/>
        <bgColor rgb="FFFDECEA"/>
      </patternFill>
    </fill>
    <fill>
      <patternFill patternType="solid">
        <fgColor rgb="FFFFFFFF"/>
        <bgColor rgb="FFF5F4F0"/>
      </patternFill>
    </fill>
    <fill>
      <patternFill patternType="solid">
        <fgColor rgb="FFEBF4FA"/>
        <bgColor rgb="FFEBF2FA"/>
      </patternFill>
    </fill>
    <fill>
      <patternFill patternType="solid">
        <fgColor rgb="FFF5F4F0"/>
        <bgColor rgb="FFFDF5E6"/>
      </patternFill>
    </fill>
    <fill>
      <patternFill patternType="solid">
        <fgColor rgb="FFD6E4F0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  <border diagonalUp="false" diagonalDown="false">
      <left style="thin">
        <color rgb="FFD0CEC6"/>
      </left>
      <right/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7C3A"/>
      <rgbColor rgb="FFF5E6E6"/>
      <rgbColor rgb="FF0000FF"/>
      <rgbColor rgb="FFC5D6AC"/>
      <rgbColor rgb="FFFDECEA"/>
      <rgbColor rgb="FF7EB8D4"/>
      <rgbColor rgb="FF800000"/>
      <rgbColor rgb="FF9BBB59"/>
      <rgbColor rgb="FF000080"/>
      <rgbColor rgb="FFC07A1A"/>
      <rgbColor rgb="FF800080"/>
      <rgbColor rgb="FF398BA2"/>
      <rgbColor rgb="FFB0BEC5"/>
      <rgbColor rgb="FF878787"/>
      <rgbColor rgb="FFA5B5D3"/>
      <rgbColor rgb="FFBE4B48"/>
      <rgbColor rgb="FFFDF5E6"/>
      <rgbColor rgb="FFEBF4FA"/>
      <rgbColor rgb="FF660066"/>
      <rgbColor rgb="FFF59240"/>
      <rgbColor rgb="FFD4A5A4"/>
      <rgbColor rgb="FFD9D9D9"/>
      <rgbColor rgb="FF000080"/>
      <rgbColor rgb="FFFF00FF"/>
      <rgbColor rgb="FFC0D2A7"/>
      <rgbColor rgb="FFEBF2FA"/>
      <rgbColor rgb="FF800080"/>
      <rgbColor rgb="FF800000"/>
      <rgbColor rgb="FF4F81BD"/>
      <rgbColor rgb="FF0000FF"/>
      <rgbColor rgb="FF46AAC4"/>
      <rgbColor rgb="FFEBF5EF"/>
      <rgbColor rgb="FFD6E4F0"/>
      <rgbColor rgb="FFF5F4F0"/>
      <rgbColor rgb="FFAABAD7"/>
      <rgbColor rgb="FFD8AAA9"/>
      <rgbColor rgb="FFB4AAC5"/>
      <rgbColor rgb="FFD0CEC6"/>
      <rgbColor rgb="FF4A7EBB"/>
      <rgbColor rgb="FF4BACC6"/>
      <rgbColor rgb="FF98B855"/>
      <rgbColor rgb="FFF79646"/>
      <rgbColor rgb="FFF5A623"/>
      <rgbColor rgb="FFCB7934"/>
      <rgbColor rgb="FF7D5FA0"/>
      <rgbColor rgb="FF999999"/>
      <rgbColor rgb="FF1C3F6E"/>
      <rgbColor rgb="FF2E7D55"/>
      <rgbColor rgb="FF181818"/>
      <rgbColor rgb="FF333300"/>
      <rgbColor rgb="FFC0392B"/>
      <rgbColor rgb="FFC0504D"/>
      <rgbColor rgb="FF8064A2"/>
      <rgbColor rgb="FF6B68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Segment 2020–2023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"Fixed Contract Residential"</c:f>
              <c:strCache>
                <c:ptCount val="1"/>
                <c:pt idx="0">
                  <c:v>Fixed Contract Residential</c:v>
                </c:pt>
              </c:strCache>
            </c:strRef>
          </c:tx>
          <c:spPr>
            <a:solidFill>
              <a:srgbClr val="1c3f6e"/>
            </a:solidFill>
            <a:ln w="20160">
              <a:solidFill>
                <a:srgbClr val="1c3f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Analysis'!$C$7</c:f>
              <c:numCache>
                <c:formatCode>0.0%</c:formatCode>
                <c:ptCount val="1"/>
                <c:pt idx="0">
                  <c:v>0.062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"Default Tariff Residential"</c:f>
              <c:strCache>
                <c:ptCount val="1"/>
                <c:pt idx="0">
                  <c:v>Default Tariff Residential</c:v>
                </c:pt>
              </c:strCache>
            </c:strRef>
          </c:tx>
          <c:spPr>
            <a:solidFill>
              <a:srgbClr val="c07a1a"/>
            </a:solidFill>
            <a:ln w="20160">
              <a:solidFill>
                <a:srgbClr val="c07a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Analysis'!$D$7</c:f>
              <c:numCache>
                <c:formatCode>0.0%</c:formatCode>
                <c:ptCount val="1"/>
                <c:pt idx="0">
                  <c:v>0.078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"SME Customers"</c:f>
              <c:strCache>
                <c:ptCount val="1"/>
                <c:pt idx="0">
                  <c:v>SME Customers</c:v>
                </c:pt>
              </c:strCache>
            </c:strRef>
          </c:tx>
          <c:spPr>
            <a:solidFill>
              <a:srgbClr val="2e7d55"/>
            </a:solidFill>
            <a:ln w="20160">
              <a:solidFill>
                <a:srgbClr val="2e7d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Analysis'!$E$7</c:f>
              <c:numCache>
                <c:formatCode>0.0%</c:formatCode>
                <c:ptCount val="1"/>
                <c:pt idx="0">
                  <c:v>0.051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"Market Average (BNetzA)"</c:f>
              <c:strCache>
                <c:ptCount val="1"/>
                <c:pt idx="0">
                  <c:v>Market Average (BNetzA)</c:v>
                </c:pt>
              </c:strCache>
            </c:strRef>
          </c:tx>
          <c:spPr>
            <a:solidFill>
              <a:srgbClr val="999999"/>
            </a:solidFill>
            <a:ln w="20160">
              <a:solidFill>
                <a:srgbClr val="9999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Analysis'!$F$7</c:f>
              <c:numCache>
                <c:formatCode>0.0%</c:formatCode>
                <c:ptCount val="1"/>
                <c:pt idx="0">
                  <c:v>0.164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Analysis'!$C$8</c:f>
              <c:numCache>
                <c:formatCode>0.0%</c:formatCode>
                <c:ptCount val="1"/>
                <c:pt idx="0">
                  <c:v>0.091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Analysis'!$D$8</c:f>
              <c:numCache>
                <c:formatCode>0.0%</c:formatCode>
                <c:ptCount val="1"/>
                <c:pt idx="0">
                  <c:v>0.102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Analysis'!$E$8</c:f>
              <c:numCache>
                <c:formatCode>0.0%</c:formatCode>
                <c:ptCount val="1"/>
                <c:pt idx="0">
                  <c:v>0.118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Analysis'!$F$8</c:f>
              <c:numCache>
                <c:formatCode>0.0%</c:formatCode>
                <c:ptCount val="1"/>
                <c:pt idx="0">
                  <c:v>0.136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Analysis'!$C$9</c:f>
              <c:numCache>
                <c:formatCode>0.0%</c:formatCode>
                <c:ptCount val="1"/>
                <c:pt idx="0">
                  <c:v>0.048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Analysis'!$D$9</c:f>
              <c:numCache>
                <c:formatCode>0.0%</c:formatCode>
                <c:ptCount val="1"/>
                <c:pt idx="0">
                  <c:v>0.052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Analysis'!$E$9</c:f>
              <c:numCache>
                <c:formatCode>0.0%</c:formatCode>
                <c:ptCount val="1"/>
                <c:pt idx="0">
                  <c:v>0.046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Analysis'!$F$9</c:f>
              <c:numCache>
                <c:formatCode>0.0%</c:formatCode>
                <c:ptCount val="1"/>
                <c:pt idx="0">
                  <c:v>0.061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a5b5d3"/>
            </a:solidFill>
            <a:ln w="28440">
              <a:solidFill>
                <a:srgbClr val="a5b5d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Analysis'!$C$10</c:f>
              <c:numCache>
                <c:formatCode>0.0%</c:formatCode>
                <c:ptCount val="1"/>
                <c:pt idx="0">
                  <c:v>0.11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d4a5a4"/>
            </a:solidFill>
            <a:ln w="2844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Analysis'!$D$10</c:f>
              <c:numCache>
                <c:formatCode>0.0%</c:formatCode>
                <c:ptCount val="1"/>
                <c:pt idx="0">
                  <c:v>0.11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c0d2a7"/>
            </a:solidFill>
            <a:ln w="2844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Analysis'!$E$10</c:f>
              <c:numCache>
                <c:formatCode>0.0%</c:formatCode>
                <c:ptCount val="1"/>
                <c:pt idx="0">
                  <c:v>0.092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b4aac5"/>
            </a:solidFill>
            <a:ln w="28440">
              <a:solidFill>
                <a:srgbClr val="b4aac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Churn Trend Analysis'!$C$6:$F$6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Churn Trend Analysis'!$F$10</c:f>
              <c:numCache>
                <c:formatCode>0.0%</c:formatCode>
                <c:ptCount val="1"/>
                <c:pt idx="0">
                  <c:v>0.138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364349"/>
        <c:axId val="55325198"/>
      </c:lineChart>
      <c:catAx>
        <c:axId val="133643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25198"/>
        <c:crosses val="autoZero"/>
        <c:auto val="1"/>
        <c:lblAlgn val="ctr"/>
        <c:lblOffset val="100"/>
        <c:noMultiLvlLbl val="0"/>
      </c:catAx>
      <c:valAx>
        <c:axId val="553251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643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Drivers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"Price — better deal elsewhere"</c:f>
              <c:strCache>
                <c:ptCount val="1"/>
                <c:pt idx="0">
                  <c:v>Price — better deal elsewhere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Analysis'!$C$7</c:f>
              <c:numCache>
                <c:formatCode>0%</c:formatCode>
                <c:ptCount val="1"/>
                <c:pt idx="0">
                  <c:v>0.61</c:v>
                </c:pt>
              </c:numCache>
            </c:numRef>
          </c:val>
        </c:ser>
        <c:ser>
          <c:idx val="1"/>
          <c:order val="1"/>
          <c:tx>
            <c:strRef>
              <c:f>"Absolute cost — cannot afford"</c:f>
              <c:strCache>
                <c:ptCount val="1"/>
                <c:pt idx="0">
                  <c:v>Absolute cost — cannot afford</c:v>
                </c:pt>
              </c:strCache>
            </c:strRef>
          </c:tx>
          <c:spPr>
            <a:solidFill>
              <a:srgbClr val="f5a6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Analysis'!$D$7</c:f>
              <c:numCache>
                <c:formatCode>0%</c:formatCode>
                <c:ptCount val="1"/>
                <c:pt idx="0">
                  <c:v>0.28</c:v>
                </c:pt>
              </c:numCache>
            </c:numRef>
          </c:val>
        </c:ser>
        <c:ser>
          <c:idx val="2"/>
          <c:order val="2"/>
          <c:tx>
            <c:strRef>
              <c:f>"Contract expiry — natural switch"</c:f>
              <c:strCache>
                <c:ptCount val="1"/>
                <c:pt idx="0">
                  <c:v>Contract expiry — natural switch</c:v>
                </c:pt>
              </c:strCache>
            </c:strRef>
          </c:tx>
          <c:spPr>
            <a:solidFill>
              <a:srgbClr val="1c3f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Analysis'!$E$7</c:f>
              <c:numCache>
                <c:formatCode>0%</c:formatCode>
                <c:ptCount val="1"/>
                <c:pt idx="0">
                  <c:v>0.45</c:v>
                </c:pt>
              </c:numCache>
            </c:numRef>
          </c:val>
        </c:ser>
        <c:ser>
          <c:idx val="3"/>
          <c:order val="3"/>
          <c:tx>
            <c:strRef>
              <c:f>"Service dissatisfaction"</c:f>
              <c:strCache>
                <c:ptCount val="1"/>
                <c:pt idx="0">
                  <c:v>Service dissatisfaction</c:v>
                </c:pt>
              </c:strCache>
            </c:strRef>
          </c:tx>
          <c:spPr>
            <a:solidFill>
              <a:srgbClr val="7eb8d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Analysis'!$C$8</c:f>
              <c:numCache>
                <c:formatCode>0%</c:formatCode>
                <c:ptCount val="1"/>
                <c:pt idx="0">
                  <c:v>0.12</c:v>
                </c:pt>
              </c:numCache>
            </c:numRef>
          </c:val>
        </c:ser>
        <c:ser>
          <c:idx val="4"/>
          <c:order val="4"/>
          <c:tx>
            <c:strRef>
              <c:f>"Relocation / other"</c:f>
              <c:strCache>
                <c:ptCount val="1"/>
                <c:pt idx="0">
                  <c:v>Relocation / other</c:v>
                </c:pt>
              </c:strCache>
            </c:strRef>
          </c:tx>
          <c:spPr>
            <a:solidFill>
              <a:srgbClr val="b0bec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Analysis'!$D$8</c:f>
              <c:numCache>
                <c:formatCode>0%</c:formatCode>
                <c:ptCount val="1"/>
                <c:pt idx="0">
                  <c:v>0.44</c:v>
                </c:pt>
              </c:numCache>
            </c:numRef>
          </c:val>
        </c:ser>
        <c:ser>
          <c:idx val="5"/>
          <c:order val="5"/>
          <c:spPr>
            <a:solidFill>
              <a:srgbClr val="cc7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Analysis'!$E$8</c:f>
              <c:numCache>
                <c:formatCode>0%</c:formatCode>
                <c:ptCount val="1"/>
                <c:pt idx="0">
                  <c:v>0.08</c:v>
                </c:pt>
              </c:numCache>
            </c:numRef>
          </c:val>
        </c:ser>
        <c:ser>
          <c:idx val="6"/>
          <c:order val="6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Analysis'!$C$9</c:f>
              <c:numCache>
                <c:formatCode>0%</c:formatCode>
                <c:ptCount val="1"/>
                <c:pt idx="0">
                  <c:v>0.18</c:v>
                </c:pt>
              </c:numCache>
            </c:numRef>
          </c:val>
        </c:ser>
        <c:ser>
          <c:idx val="7"/>
          <c:order val="7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Analysis'!$D$9</c:f>
              <c:numCache>
                <c:formatCode>0%</c:formatCode>
                <c:ptCount val="1"/>
                <c:pt idx="0">
                  <c:v>0.12</c:v>
                </c:pt>
              </c:numCache>
            </c:numRef>
          </c:val>
        </c:ser>
        <c:ser>
          <c:idx val="8"/>
          <c:order val="8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Analysis'!$E$9</c:f>
              <c:numCache>
                <c:formatCode>0%</c:formatCode>
                <c:ptCount val="1"/>
                <c:pt idx="0">
                  <c:v>0.22</c:v>
                </c:pt>
              </c:numCache>
            </c:numRef>
          </c:val>
        </c:ser>
        <c:ser>
          <c:idx val="9"/>
          <c:order val="9"/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Analysis'!$C$10</c:f>
              <c:numCache>
                <c:formatCode>0%</c:formatCode>
                <c:ptCount val="1"/>
                <c:pt idx="0">
                  <c:v>0.06</c:v>
                </c:pt>
              </c:numCache>
            </c:numRef>
          </c:val>
        </c:ser>
        <c:ser>
          <c:idx val="10"/>
          <c:order val="10"/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Analysis'!$D$10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</c:ser>
        <c:ser>
          <c:idx val="11"/>
          <c:order val="11"/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Analysis'!$E$10</c:f>
              <c:numCache>
                <c:formatCode>0%</c:formatCode>
                <c:ptCount val="1"/>
                <c:pt idx="0">
                  <c:v>0.18</c:v>
                </c:pt>
              </c:numCache>
            </c:numRef>
          </c:val>
        </c:ser>
        <c:ser>
          <c:idx val="12"/>
          <c:order val="12"/>
          <c:spPr>
            <a:solidFill>
              <a:srgbClr val="aabad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Analysis'!$C$11</c:f>
              <c:numCache>
                <c:formatCode>0%</c:formatCode>
                <c:ptCount val="1"/>
                <c:pt idx="0">
                  <c:v>0.03</c:v>
                </c:pt>
              </c:numCache>
            </c:numRef>
          </c:val>
        </c:ser>
        <c:ser>
          <c:idx val="13"/>
          <c:order val="13"/>
          <c:spPr>
            <a:solidFill>
              <a:srgbClr val="d8aaa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Analysis'!$D$11</c:f>
              <c:numCache>
                <c:formatCode>0%</c:formatCode>
                <c:ptCount val="1"/>
                <c:pt idx="0">
                  <c:v>0.06</c:v>
                </c:pt>
              </c:numCache>
            </c:numRef>
          </c:val>
        </c:ser>
        <c:ser>
          <c:idx val="14"/>
          <c:order val="14"/>
          <c:spPr>
            <a:solidFill>
              <a:srgbClr val="c5d6a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'4. Churn Driver Analysis'!$C$6:$E$6</c:f>
              <c:multiLvlStrCache>
                <c:ptCount val="1"/>
                <c:lvl>
                  <c:pt idx="0">
                    <c:v>SME Customers</c:v>
                  </c:pt>
                </c:lvl>
                <c:lvl>
                  <c:pt idx="0">
                    <c:v>Default Tariff
Residential</c:v>
                  </c:pt>
                </c:lvl>
                <c:lvl>
                  <c:pt idx="0">
                    <c:v>Fixed Contract
Residential</c:v>
                  </c:pt>
                </c:lvl>
              </c:multiLvlStrCache>
            </c:multiLvlStrRef>
          </c:cat>
          <c:val>
            <c:numRef>
              <c:f>'4. Churn Driver Analysis'!$E$11</c:f>
              <c:numCache>
                <c:formatCode>0%</c:formatCode>
                <c:ptCount val="1"/>
                <c:pt idx="0">
                  <c:v>0.07</c:v>
                </c:pt>
              </c:numCache>
            </c:numRef>
          </c:val>
        </c:ser>
        <c:gapWidth val="150"/>
        <c:overlap val="100"/>
        <c:axId val="83538275"/>
        <c:axId val="57332663"/>
      </c:barChart>
      <c:catAx>
        <c:axId val="83538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32663"/>
        <c:crosses val="autoZero"/>
        <c:auto val="1"/>
        <c:lblAlgn val="ctr"/>
        <c:lblOffset val="100"/>
        <c:noMultiLvlLbl val="0"/>
      </c:catAx>
      <c:valAx>
        <c:axId val="57332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Churn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38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Intervention Cost vs Net Retention Value per Customer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'5. Retention Value Model'!D6</c:f>
              <c:strCache>
                <c:ptCount val="1"/>
                <c:pt idx="0">
                  <c:v>Intervention Type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Retention Value Model'!$B$7:$B$9</c:f>
              <c:strCache>
                <c:ptCount val="3"/>
                <c:pt idx="0">
                  <c:v>Switchers</c:v>
                </c:pt>
                <c:pt idx="1">
                  <c:v>Vulnerable Loyals</c:v>
                </c:pt>
                <c:pt idx="2">
                  <c:v>At-Risk Vulnerable</c:v>
                </c:pt>
              </c:strCache>
            </c:strRef>
          </c:cat>
          <c:val>
            <c:numRef>
              <c:f>'5. Retention Value Model'!$D$7:$D$9</c:f>
              <c:numCache>
                <c:formatCode>General</c:formatCode>
                <c:ptCount val="3"/>
              </c:numCache>
            </c:numRef>
          </c:val>
        </c:ser>
        <c:ser>
          <c:idx val="1"/>
          <c:order val="1"/>
          <c:tx>
            <c:strRef>
              <c:f>'5. Retention Value Model'!I6</c:f>
              <c:strCache>
                <c:ptCount val="1"/>
                <c:pt idx="0">
                  <c:v>Net Value/Customer (€)</c:v>
                </c:pt>
              </c:strCache>
            </c:strRef>
          </c:tx>
          <c:spPr>
            <a:solidFill>
              <a:srgbClr val="2e7d5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Retention Value Model'!$B$7:$B$9</c:f>
              <c:strCache>
                <c:ptCount val="3"/>
                <c:pt idx="0">
                  <c:v>Switchers</c:v>
                </c:pt>
                <c:pt idx="1">
                  <c:v>Vulnerable Loyals</c:v>
                </c:pt>
                <c:pt idx="2">
                  <c:v>At-Risk Vulnerable</c:v>
                </c:pt>
              </c:strCache>
            </c:strRef>
          </c:cat>
          <c:val>
            <c:numRef>
              <c:f>'5. Retention Value Model'!$I$7:$I$9</c:f>
              <c:numCache>
                <c:formatCode>\€#,##0</c:formatCode>
                <c:ptCount val="3"/>
                <c:pt idx="0">
                  <c:v>82.85</c:v>
                </c:pt>
                <c:pt idx="1">
                  <c:v>9.432</c:v>
                </c:pt>
                <c:pt idx="2">
                  <c:v>-25.625</c:v>
                </c:pt>
              </c:numCache>
            </c:numRef>
          </c:val>
        </c:ser>
        <c:gapWidth val="150"/>
        <c:overlap val="0"/>
        <c:axId val="60936183"/>
        <c:axId val="48699661"/>
      </c:barChart>
      <c:catAx>
        <c:axId val="60936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99661"/>
        <c:crosses val="autoZero"/>
        <c:auto val="1"/>
        <c:lblAlgn val="ctr"/>
        <c:lblOffset val="100"/>
        <c:noMultiLvlLbl val="0"/>
      </c:catAx>
      <c:valAx>
        <c:axId val="48699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per 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36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11</xdr:col>
      <xdr:colOff>461520</xdr:colOff>
      <xdr:row>39</xdr:row>
      <xdr:rowOff>86760</xdr:rowOff>
    </xdr:to>
    <xdr:graphicFrame>
      <xdr:nvGraphicFramePr>
        <xdr:cNvPr id="0" name="Chart 1"/>
        <xdr:cNvGraphicFramePr/>
      </xdr:nvGraphicFramePr>
      <xdr:xfrm>
        <a:off x="141120" y="30956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10</xdr:col>
      <xdr:colOff>539640</xdr:colOff>
      <xdr:row>40</xdr:row>
      <xdr:rowOff>86760</xdr:rowOff>
    </xdr:to>
    <xdr:graphicFrame>
      <xdr:nvGraphicFramePr>
        <xdr:cNvPr id="1" name="Chart 1"/>
        <xdr:cNvGraphicFramePr/>
      </xdr:nvGraphicFramePr>
      <xdr:xfrm>
        <a:off x="141120" y="34862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7</xdr:col>
      <xdr:colOff>1012320</xdr:colOff>
      <xdr:row>39</xdr:row>
      <xdr:rowOff>86760</xdr:rowOff>
    </xdr:to>
    <xdr:graphicFrame>
      <xdr:nvGraphicFramePr>
        <xdr:cNvPr id="2" name="Chart 1"/>
        <xdr:cNvGraphicFramePr/>
      </xdr:nvGraphicFramePr>
      <xdr:xfrm>
        <a:off x="141120" y="32860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20"/>
  </cols>
  <sheetData>
    <row r="2" customFormat="false" ht="49.5" hidden="false" customHeight="true" outlineLevel="0" collapsed="false">
      <c r="B2" s="1" t="s">
        <v>0</v>
      </c>
      <c r="C2" s="1"/>
      <c r="D2" s="1"/>
    </row>
    <row r="3" customFormat="false" ht="27.75" hidden="false" customHeight="true" outlineLevel="0" collapsed="false">
      <c r="B3" s="2" t="s">
        <v>1</v>
      </c>
      <c r="C3" s="2"/>
      <c r="D3" s="2"/>
    </row>
    <row r="4" customFormat="false" ht="3" hidden="false" customHeight="true" outlineLevel="0" collapsed="false">
      <c r="B4" s="3"/>
      <c r="C4" s="3"/>
      <c r="D4" s="3"/>
    </row>
    <row r="5" customFormat="false" ht="15.75" hidden="false" customHeight="true" outlineLevel="0" collapsed="false">
      <c r="B5" s="4" t="s">
        <v>2</v>
      </c>
      <c r="C5" s="5" t="s">
        <v>3</v>
      </c>
    </row>
    <row r="6" customFormat="false" ht="15.75" hidden="false" customHeight="true" outlineLevel="0" collapsed="false">
      <c r="B6" s="4" t="s">
        <v>4</v>
      </c>
      <c r="C6" s="5" t="s">
        <v>5</v>
      </c>
    </row>
    <row r="7" customFormat="false" ht="15.75" hidden="false" customHeight="true" outlineLevel="0" collapsed="false">
      <c r="B7" s="4" t="s">
        <v>6</v>
      </c>
      <c r="C7" s="5" t="s">
        <v>7</v>
      </c>
    </row>
    <row r="8" customFormat="false" ht="15.75" hidden="false" customHeight="true" outlineLevel="0" collapsed="false">
      <c r="B8" s="4" t="s">
        <v>8</v>
      </c>
      <c r="C8" s="5" t="s">
        <v>9</v>
      </c>
    </row>
    <row r="9" customFormat="false" ht="15.75" hidden="false" customHeight="true" outlineLevel="0" collapsed="false">
      <c r="B9" s="4" t="s">
        <v>10</v>
      </c>
      <c r="C9" s="5" t="s">
        <v>11</v>
      </c>
    </row>
    <row r="10" customFormat="false" ht="15.75" hidden="false" customHeight="true" outlineLevel="0" collapsed="false">
      <c r="B10" s="4" t="s">
        <v>12</v>
      </c>
      <c r="C10" s="5" t="s">
        <v>13</v>
      </c>
    </row>
    <row r="12" customFormat="false" ht="19.5" hidden="false" customHeight="true" outlineLevel="0" collapsed="false">
      <c r="B12" s="6" t="s">
        <v>14</v>
      </c>
    </row>
    <row r="13" customFormat="false" ht="15.75" hidden="false" customHeight="true" outlineLevel="0" collapsed="false">
      <c r="B13" s="7" t="s">
        <v>15</v>
      </c>
      <c r="C13" s="8" t="s">
        <v>16</v>
      </c>
    </row>
    <row r="14" customFormat="false" ht="15.75" hidden="false" customHeight="true" outlineLevel="0" collapsed="false">
      <c r="B14" s="7" t="s">
        <v>17</v>
      </c>
      <c r="C14" s="8" t="s">
        <v>18</v>
      </c>
    </row>
    <row r="15" customFormat="false" ht="15.75" hidden="false" customHeight="true" outlineLevel="0" collapsed="false">
      <c r="B15" s="7" t="s">
        <v>19</v>
      </c>
      <c r="C15" s="8" t="s">
        <v>20</v>
      </c>
    </row>
    <row r="16" customFormat="false" ht="15.75" hidden="false" customHeight="true" outlineLevel="0" collapsed="false">
      <c r="B16" s="7" t="s">
        <v>21</v>
      </c>
      <c r="C16" s="8" t="s">
        <v>22</v>
      </c>
    </row>
    <row r="17" customFormat="false" ht="15.75" hidden="false" customHeight="true" outlineLevel="0" collapsed="false">
      <c r="B17" s="7" t="s">
        <v>23</v>
      </c>
      <c r="C17" s="8" t="s">
        <v>24</v>
      </c>
    </row>
    <row r="18" customFormat="false" ht="15.75" hidden="false" customHeight="true" outlineLevel="0" collapsed="false">
      <c r="B18" s="7" t="s">
        <v>25</v>
      </c>
      <c r="C18" s="8" t="s">
        <v>26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"/>
  </cols>
  <sheetData>
    <row r="2" customFormat="false" ht="27.75" hidden="false" customHeight="true" outlineLevel="0" collapsed="false">
      <c r="B2" s="9" t="s">
        <v>27</v>
      </c>
      <c r="C2" s="9"/>
      <c r="D2" s="9"/>
    </row>
    <row r="4" customFormat="false" ht="19.5" hidden="false" customHeight="true" outlineLevel="0" collapsed="false">
      <c r="B4" s="10" t="s">
        <v>28</v>
      </c>
      <c r="C4" s="10"/>
      <c r="D4" s="10"/>
    </row>
    <row r="5" customFormat="false" ht="27.75" hidden="false" customHeight="true" outlineLevel="0" collapsed="false">
      <c r="B5" s="10" t="s">
        <v>29</v>
      </c>
      <c r="C5" s="10" t="s">
        <v>30</v>
      </c>
      <c r="D5" s="10" t="s">
        <v>31</v>
      </c>
    </row>
    <row r="6" customFormat="false" ht="18" hidden="false" customHeight="true" outlineLevel="0" collapsed="false">
      <c r="B6" s="11" t="s">
        <v>32</v>
      </c>
      <c r="C6" s="12" t="s">
        <v>33</v>
      </c>
      <c r="D6" s="11" t="s">
        <v>34</v>
      </c>
    </row>
    <row r="7" customFormat="false" ht="18" hidden="false" customHeight="true" outlineLevel="0" collapsed="false">
      <c r="B7" s="11" t="s">
        <v>35</v>
      </c>
      <c r="C7" s="12" t="s">
        <v>36</v>
      </c>
      <c r="D7" s="11" t="s">
        <v>37</v>
      </c>
    </row>
    <row r="8" customFormat="false" ht="18" hidden="false" customHeight="true" outlineLevel="0" collapsed="false">
      <c r="B8" s="11" t="s">
        <v>38</v>
      </c>
      <c r="C8" s="12" t="s">
        <v>39</v>
      </c>
      <c r="D8" s="11" t="s">
        <v>40</v>
      </c>
    </row>
    <row r="9" customFormat="false" ht="18" hidden="false" customHeight="true" outlineLevel="0" collapsed="false">
      <c r="B9" s="11" t="s">
        <v>41</v>
      </c>
      <c r="C9" s="12" t="s">
        <v>42</v>
      </c>
      <c r="D9" s="11" t="s">
        <v>37</v>
      </c>
    </row>
    <row r="10" customFormat="false" ht="18" hidden="false" customHeight="true" outlineLevel="0" collapsed="false">
      <c r="B10" s="11" t="s">
        <v>43</v>
      </c>
      <c r="C10" s="12" t="s">
        <v>44</v>
      </c>
      <c r="D10" s="11" t="s">
        <v>45</v>
      </c>
    </row>
    <row r="11" customFormat="false" ht="18" hidden="false" customHeight="true" outlineLevel="0" collapsed="false">
      <c r="B11" s="11" t="s">
        <v>46</v>
      </c>
      <c r="C11" s="12" t="s">
        <v>47</v>
      </c>
      <c r="D11" s="11" t="s">
        <v>48</v>
      </c>
    </row>
    <row r="12" customFormat="false" ht="18" hidden="false" customHeight="true" outlineLevel="0" collapsed="false">
      <c r="B12" s="11" t="s">
        <v>49</v>
      </c>
      <c r="C12" s="12" t="s">
        <v>50</v>
      </c>
      <c r="D12" s="11" t="s">
        <v>51</v>
      </c>
    </row>
    <row r="13" customFormat="false" ht="18" hidden="false" customHeight="true" outlineLevel="0" collapsed="false">
      <c r="B13" s="11" t="s">
        <v>52</v>
      </c>
      <c r="C13" s="12" t="s">
        <v>53</v>
      </c>
      <c r="D13" s="11" t="s">
        <v>54</v>
      </c>
    </row>
    <row r="16" customFormat="false" ht="19.5" hidden="false" customHeight="true" outlineLevel="0" collapsed="false">
      <c r="B16" s="10" t="s">
        <v>55</v>
      </c>
      <c r="C16" s="10"/>
      <c r="D16" s="10"/>
    </row>
    <row r="17" customFormat="false" ht="27.75" hidden="false" customHeight="true" outlineLevel="0" collapsed="false">
      <c r="B17" s="10" t="s">
        <v>56</v>
      </c>
      <c r="C17" s="10" t="s">
        <v>30</v>
      </c>
      <c r="D17" s="10" t="s">
        <v>57</v>
      </c>
    </row>
    <row r="18" customFormat="false" ht="18" hidden="false" customHeight="true" outlineLevel="0" collapsed="false">
      <c r="B18" s="11" t="s">
        <v>58</v>
      </c>
      <c r="C18" s="12" t="s">
        <v>59</v>
      </c>
      <c r="D18" s="11" t="s">
        <v>60</v>
      </c>
    </row>
    <row r="19" customFormat="false" ht="18" hidden="false" customHeight="true" outlineLevel="0" collapsed="false">
      <c r="B19" s="11" t="s">
        <v>61</v>
      </c>
      <c r="C19" s="12" t="s">
        <v>62</v>
      </c>
      <c r="D19" s="11" t="s">
        <v>63</v>
      </c>
    </row>
    <row r="20" customFormat="false" ht="18" hidden="false" customHeight="true" outlineLevel="0" collapsed="false">
      <c r="B20" s="11" t="s">
        <v>64</v>
      </c>
      <c r="C20" s="12" t="s">
        <v>65</v>
      </c>
      <c r="D20" s="11" t="s">
        <v>66</v>
      </c>
    </row>
    <row r="21" customFormat="false" ht="18" hidden="false" customHeight="true" outlineLevel="0" collapsed="false">
      <c r="B21" s="11" t="s">
        <v>67</v>
      </c>
      <c r="C21" s="12" t="s">
        <v>68</v>
      </c>
      <c r="D21" s="11" t="s">
        <v>69</v>
      </c>
    </row>
    <row r="22" customFormat="false" ht="18" hidden="false" customHeight="true" outlineLevel="0" collapsed="false">
      <c r="B22" s="11" t="s">
        <v>70</v>
      </c>
      <c r="C22" s="12" t="s">
        <v>71</v>
      </c>
      <c r="D22" s="11" t="s">
        <v>72</v>
      </c>
    </row>
    <row r="23" customFormat="false" ht="18" hidden="false" customHeight="true" outlineLevel="0" collapsed="false">
      <c r="B23" s="11" t="s">
        <v>73</v>
      </c>
      <c r="C23" s="12" t="s">
        <v>74</v>
      </c>
      <c r="D23" s="11" t="s">
        <v>75</v>
      </c>
    </row>
    <row r="24" customFormat="false" ht="18" hidden="false" customHeight="true" outlineLevel="0" collapsed="false">
      <c r="B24" s="11" t="s">
        <v>76</v>
      </c>
      <c r="C24" s="12" t="s">
        <v>68</v>
      </c>
      <c r="D24" s="11" t="s">
        <v>77</v>
      </c>
    </row>
    <row r="25" customFormat="false" ht="18" hidden="false" customHeight="true" outlineLevel="0" collapsed="false">
      <c r="B25" s="11" t="s">
        <v>78</v>
      </c>
      <c r="C25" s="12" t="s">
        <v>79</v>
      </c>
      <c r="D25" s="11" t="s">
        <v>80</v>
      </c>
    </row>
    <row r="26" customFormat="false" ht="18" hidden="false" customHeight="true" outlineLevel="0" collapsed="false">
      <c r="B26" s="11" t="s">
        <v>81</v>
      </c>
      <c r="C26" s="12" t="s">
        <v>82</v>
      </c>
      <c r="D26" s="11" t="s">
        <v>83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8" min="8" style="0" width="2"/>
  </cols>
  <sheetData>
    <row r="2" customFormat="false" ht="27.75" hidden="false" customHeight="true" outlineLevel="0" collapsed="false">
      <c r="B2" s="9" t="s">
        <v>84</v>
      </c>
      <c r="C2" s="9"/>
      <c r="D2" s="9"/>
      <c r="E2" s="9"/>
      <c r="F2" s="9"/>
      <c r="G2" s="9"/>
      <c r="H2" s="9"/>
    </row>
    <row r="3" customFormat="false" ht="15.75" hidden="false" customHeight="true" outlineLevel="0" collapsed="false">
      <c r="B3" s="13" t="s">
        <v>85</v>
      </c>
      <c r="C3" s="13"/>
      <c r="D3" s="13"/>
      <c r="E3" s="13"/>
      <c r="F3" s="13"/>
      <c r="G3" s="13"/>
      <c r="H3" s="13"/>
    </row>
    <row r="5" customFormat="false" ht="19.5" hidden="false" customHeight="true" outlineLevel="0" collapsed="false">
      <c r="B5" s="10"/>
      <c r="C5" s="10"/>
      <c r="D5" s="10"/>
      <c r="E5" s="10"/>
      <c r="F5" s="10"/>
      <c r="G5" s="10"/>
      <c r="H5" s="10"/>
    </row>
    <row r="6" customFormat="false" ht="27.75" hidden="false" customHeight="true" outlineLevel="0" collapsed="false">
      <c r="B6" s="10" t="s">
        <v>86</v>
      </c>
      <c r="C6" s="10" t="s">
        <v>87</v>
      </c>
      <c r="D6" s="10" t="s">
        <v>88</v>
      </c>
      <c r="E6" s="10" t="s">
        <v>89</v>
      </c>
      <c r="F6" s="10" t="s">
        <v>90</v>
      </c>
      <c r="G6" s="10" t="s">
        <v>91</v>
      </c>
    </row>
    <row r="7" customFormat="false" ht="19.5" hidden="false" customHeight="true" outlineLevel="0" collapsed="false">
      <c r="B7" s="14" t="s">
        <v>92</v>
      </c>
      <c r="C7" s="15" t="n">
        <v>0.062</v>
      </c>
      <c r="D7" s="15" t="n">
        <v>0.078</v>
      </c>
      <c r="E7" s="15" t="n">
        <v>0.051</v>
      </c>
      <c r="F7" s="16" t="n">
        <v>0.164</v>
      </c>
      <c r="G7" s="17" t="s">
        <v>93</v>
      </c>
    </row>
    <row r="8" customFormat="false" ht="19.5" hidden="false" customHeight="true" outlineLevel="0" collapsed="false">
      <c r="B8" s="18" t="s">
        <v>94</v>
      </c>
      <c r="C8" s="19" t="n">
        <v>0.091</v>
      </c>
      <c r="D8" s="19" t="n">
        <v>0.102</v>
      </c>
      <c r="E8" s="19" t="n">
        <v>0.118</v>
      </c>
      <c r="F8" s="16" t="n">
        <v>0.136</v>
      </c>
      <c r="G8" s="20" t="s">
        <v>95</v>
      </c>
    </row>
    <row r="9" customFormat="false" ht="19.5" hidden="false" customHeight="true" outlineLevel="0" collapsed="false">
      <c r="B9" s="21" t="s">
        <v>96</v>
      </c>
      <c r="C9" s="22" t="n">
        <v>0.048</v>
      </c>
      <c r="D9" s="22" t="n">
        <v>0.052</v>
      </c>
      <c r="E9" s="22" t="n">
        <v>0.046</v>
      </c>
      <c r="F9" s="23" t="n">
        <v>0.061</v>
      </c>
      <c r="G9" s="24" t="s">
        <v>97</v>
      </c>
    </row>
    <row r="10" customFormat="false" ht="19.5" hidden="false" customHeight="true" outlineLevel="0" collapsed="false">
      <c r="B10" s="11" t="s">
        <v>98</v>
      </c>
      <c r="C10" s="25" t="n">
        <v>0.11</v>
      </c>
      <c r="D10" s="25" t="n">
        <v>0.11</v>
      </c>
      <c r="E10" s="25" t="n">
        <v>0.092</v>
      </c>
      <c r="F10" s="26" t="n">
        <v>0.138</v>
      </c>
      <c r="G10" s="27" t="s">
        <v>99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"/>
  </cols>
  <sheetData>
    <row r="2" customFormat="false" ht="27.75" hidden="false" customHeight="true" outlineLevel="0" collapsed="false">
      <c r="B2" s="9" t="s">
        <v>100</v>
      </c>
      <c r="C2" s="9"/>
      <c r="D2" s="9"/>
      <c r="E2" s="9"/>
      <c r="F2" s="9"/>
      <c r="G2" s="9"/>
      <c r="H2" s="9"/>
    </row>
    <row r="3" customFormat="false" ht="15.75" hidden="false" customHeight="true" outlineLevel="0" collapsed="false">
      <c r="B3" s="13" t="s">
        <v>101</v>
      </c>
      <c r="C3" s="13"/>
      <c r="D3" s="13"/>
      <c r="E3" s="13"/>
      <c r="F3" s="13"/>
      <c r="G3" s="13"/>
      <c r="H3" s="13"/>
    </row>
    <row r="5" customFormat="false" ht="19.5" hidden="false" customHeight="true" outlineLevel="0" collapsed="false">
      <c r="B5" s="10"/>
      <c r="C5" s="10"/>
      <c r="D5" s="10"/>
      <c r="E5" s="10"/>
      <c r="F5" s="10"/>
      <c r="G5" s="10"/>
      <c r="H5" s="10"/>
    </row>
    <row r="6" customFormat="false" ht="36" hidden="false" customHeight="true" outlineLevel="0" collapsed="false">
      <c r="B6" s="10" t="s">
        <v>86</v>
      </c>
      <c r="C6" s="10" t="s">
        <v>102</v>
      </c>
      <c r="D6" s="10" t="s">
        <v>103</v>
      </c>
      <c r="E6" s="10" t="s">
        <v>104</v>
      </c>
      <c r="F6" s="10" t="s">
        <v>105</v>
      </c>
      <c r="G6" s="10" t="s">
        <v>106</v>
      </c>
    </row>
    <row r="7" customFormat="false" ht="24" hidden="false" customHeight="true" outlineLevel="0" collapsed="false">
      <c r="B7" s="28" t="s">
        <v>107</v>
      </c>
      <c r="C7" s="29" t="n">
        <v>42000</v>
      </c>
      <c r="D7" s="30" t="s">
        <v>108</v>
      </c>
      <c r="E7" s="31" t="s">
        <v>109</v>
      </c>
      <c r="F7" s="11" t="s">
        <v>110</v>
      </c>
      <c r="G7" s="32" t="s">
        <v>111</v>
      </c>
    </row>
    <row r="8" customFormat="false" ht="24" hidden="false" customHeight="true" outlineLevel="0" collapsed="false">
      <c r="B8" s="33" t="s">
        <v>112</v>
      </c>
      <c r="C8" s="34" t="n">
        <v>28000</v>
      </c>
      <c r="D8" s="31" t="s">
        <v>113</v>
      </c>
      <c r="E8" s="30" t="s">
        <v>114</v>
      </c>
      <c r="F8" s="11" t="s">
        <v>115</v>
      </c>
      <c r="G8" s="32" t="s">
        <v>116</v>
      </c>
    </row>
    <row r="9" customFormat="false" ht="24" hidden="false" customHeight="true" outlineLevel="0" collapsed="false">
      <c r="B9" s="35" t="s">
        <v>117</v>
      </c>
      <c r="C9" s="36" t="n">
        <v>18000</v>
      </c>
      <c r="D9" s="30" t="s">
        <v>108</v>
      </c>
      <c r="E9" s="30" t="s">
        <v>114</v>
      </c>
      <c r="F9" s="11" t="s">
        <v>118</v>
      </c>
      <c r="G9" s="32" t="s">
        <v>119</v>
      </c>
    </row>
    <row r="10" customFormat="false" ht="24" hidden="false" customHeight="true" outlineLevel="0" collapsed="false">
      <c r="B10" s="37" t="s">
        <v>120</v>
      </c>
      <c r="C10" s="38" t="n">
        <v>112000</v>
      </c>
      <c r="D10" s="31" t="s">
        <v>113</v>
      </c>
      <c r="E10" s="31" t="s">
        <v>109</v>
      </c>
      <c r="F10" s="11" t="s">
        <v>121</v>
      </c>
      <c r="G10" s="32" t="s">
        <v>122</v>
      </c>
    </row>
    <row r="11" customFormat="false" ht="19.5" hidden="false" customHeight="true" outlineLevel="0" collapsed="false">
      <c r="B11" s="10" t="s">
        <v>123</v>
      </c>
      <c r="C11" s="39" t="n">
        <f aca="false">SUM(C7:C10)</f>
        <v>200000</v>
      </c>
      <c r="D11" s="10"/>
      <c r="E11" s="10"/>
      <c r="F11" s="10"/>
      <c r="G11" s="10"/>
      <c r="H11" s="10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2"/>
  </cols>
  <sheetData>
    <row r="2" customFormat="false" ht="27.75" hidden="false" customHeight="true" outlineLevel="0" collapsed="false">
      <c r="B2" s="9" t="s">
        <v>124</v>
      </c>
      <c r="C2" s="9"/>
      <c r="D2" s="9"/>
      <c r="E2" s="9"/>
      <c r="F2" s="9"/>
    </row>
    <row r="3" customFormat="false" ht="15.75" hidden="false" customHeight="true" outlineLevel="0" collapsed="false">
      <c r="B3" s="13" t="s">
        <v>125</v>
      </c>
      <c r="C3" s="13"/>
      <c r="D3" s="13"/>
      <c r="E3" s="13"/>
      <c r="F3" s="13"/>
    </row>
    <row r="5" customFormat="false" ht="19.5" hidden="false" customHeight="true" outlineLevel="0" collapsed="false">
      <c r="B5" s="10"/>
      <c r="C5" s="10"/>
      <c r="D5" s="10"/>
      <c r="E5" s="10"/>
      <c r="F5" s="10"/>
    </row>
    <row r="6" customFormat="false" ht="36" hidden="false" customHeight="true" outlineLevel="0" collapsed="false">
      <c r="B6" s="10" t="s">
        <v>126</v>
      </c>
      <c r="C6" s="10" t="s">
        <v>127</v>
      </c>
      <c r="D6" s="10" t="s">
        <v>128</v>
      </c>
      <c r="E6" s="10" t="s">
        <v>96</v>
      </c>
    </row>
    <row r="7" customFormat="false" ht="19.5" hidden="false" customHeight="true" outlineLevel="0" collapsed="false">
      <c r="B7" s="14" t="s">
        <v>129</v>
      </c>
      <c r="C7" s="40" t="n">
        <v>0.61</v>
      </c>
      <c r="D7" s="41" t="n">
        <v>0.28</v>
      </c>
      <c r="E7" s="40" t="n">
        <v>0.45</v>
      </c>
    </row>
    <row r="8" customFormat="false" ht="19.5" hidden="false" customHeight="true" outlineLevel="0" collapsed="false">
      <c r="B8" s="18" t="s">
        <v>130</v>
      </c>
      <c r="C8" s="41" t="n">
        <v>0.12</v>
      </c>
      <c r="D8" s="40" t="n">
        <v>0.44</v>
      </c>
      <c r="E8" s="41" t="n">
        <v>0.08</v>
      </c>
    </row>
    <row r="9" customFormat="false" ht="19.5" hidden="false" customHeight="true" outlineLevel="0" collapsed="false">
      <c r="B9" s="42" t="s">
        <v>131</v>
      </c>
      <c r="C9" s="41" t="n">
        <v>0.18</v>
      </c>
      <c r="D9" s="41" t="n">
        <v>0.12</v>
      </c>
      <c r="E9" s="41" t="n">
        <v>0.22</v>
      </c>
    </row>
    <row r="10" customFormat="false" ht="19.5" hidden="false" customHeight="true" outlineLevel="0" collapsed="false">
      <c r="B10" s="43" t="s">
        <v>132</v>
      </c>
      <c r="C10" s="41" t="n">
        <v>0.06</v>
      </c>
      <c r="D10" s="41" t="n">
        <v>0.1</v>
      </c>
      <c r="E10" s="41" t="n">
        <v>0.18</v>
      </c>
    </row>
    <row r="11" customFormat="false" ht="19.5" hidden="false" customHeight="true" outlineLevel="0" collapsed="false">
      <c r="B11" s="44" t="s">
        <v>133</v>
      </c>
      <c r="C11" s="41" t="n">
        <v>0.03</v>
      </c>
      <c r="D11" s="41" t="n">
        <v>0.06</v>
      </c>
      <c r="E11" s="41" t="n">
        <v>0.07</v>
      </c>
    </row>
    <row r="12" customFormat="false" ht="18" hidden="false" customHeight="true" outlineLevel="0" collapsed="false">
      <c r="B12" s="10" t="s">
        <v>123</v>
      </c>
      <c r="C12" s="45" t="n">
        <f aca="false">SUM(C7:C11)</f>
        <v>1</v>
      </c>
      <c r="D12" s="45" t="n">
        <f aca="false">SUM(D7:D11)</f>
        <v>1</v>
      </c>
      <c r="E12" s="45" t="n">
        <f aca="false">SUM(E7:E11)</f>
        <v>1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8" min="4" style="0" width="16"/>
    <col collapsed="false" customWidth="true" hidden="false" outlineLevel="0" max="9" min="9" style="0" width="2"/>
  </cols>
  <sheetData>
    <row r="2" customFormat="false" ht="27.75" hidden="false" customHeight="true" outlineLevel="0" collapsed="false">
      <c r="B2" s="9" t="s">
        <v>134</v>
      </c>
      <c r="C2" s="9"/>
      <c r="D2" s="9"/>
      <c r="E2" s="9"/>
      <c r="F2" s="9"/>
      <c r="G2" s="9"/>
      <c r="H2" s="9"/>
      <c r="I2" s="9"/>
    </row>
    <row r="3" customFormat="false" ht="15.75" hidden="false" customHeight="true" outlineLevel="0" collapsed="false">
      <c r="B3" s="13" t="s">
        <v>135</v>
      </c>
      <c r="C3" s="13"/>
      <c r="D3" s="13"/>
      <c r="E3" s="13"/>
      <c r="F3" s="13"/>
      <c r="G3" s="13"/>
      <c r="H3" s="13"/>
      <c r="I3" s="13"/>
    </row>
    <row r="5" customFormat="false" ht="19.5" hidden="false" customHeight="true" outlineLevel="0" collapsed="false">
      <c r="B5" s="10"/>
      <c r="C5" s="10"/>
      <c r="D5" s="10"/>
      <c r="E5" s="10"/>
      <c r="F5" s="10"/>
      <c r="G5" s="10"/>
      <c r="H5" s="10"/>
      <c r="I5" s="10"/>
    </row>
    <row r="6" customFormat="false" ht="36" hidden="false" customHeight="true" outlineLevel="0" collapsed="false">
      <c r="B6" s="10" t="s">
        <v>86</v>
      </c>
      <c r="C6" s="10" t="s">
        <v>136</v>
      </c>
      <c r="D6" s="10" t="s">
        <v>137</v>
      </c>
      <c r="E6" s="10" t="s">
        <v>138</v>
      </c>
      <c r="F6" s="10" t="s">
        <v>139</v>
      </c>
      <c r="G6" s="10" t="s">
        <v>140</v>
      </c>
      <c r="H6" s="10" t="s">
        <v>141</v>
      </c>
      <c r="I6" s="10" t="s">
        <v>142</v>
      </c>
    </row>
    <row r="7" customFormat="false" ht="21.75" hidden="false" customHeight="true" outlineLevel="0" collapsed="false">
      <c r="B7" s="28" t="s">
        <v>107</v>
      </c>
      <c r="C7" s="46" t="n">
        <v>42000</v>
      </c>
      <c r="D7" s="47" t="s">
        <v>143</v>
      </c>
      <c r="E7" s="48" t="n">
        <v>20</v>
      </c>
      <c r="F7" s="49" t="n">
        <v>0.55</v>
      </c>
      <c r="G7" s="50" t="n">
        <v>85</v>
      </c>
      <c r="H7" s="51" t="n">
        <v>2.2</v>
      </c>
      <c r="I7" s="52" t="n">
        <v>82.85</v>
      </c>
    </row>
    <row r="8" customFormat="false" ht="21.75" hidden="false" customHeight="true" outlineLevel="0" collapsed="false">
      <c r="B8" s="33" t="s">
        <v>112</v>
      </c>
      <c r="C8" s="53" t="n">
        <v>28000</v>
      </c>
      <c r="D8" s="47" t="s">
        <v>144</v>
      </c>
      <c r="E8" s="48" t="n">
        <v>45</v>
      </c>
      <c r="F8" s="49" t="n">
        <v>0.42</v>
      </c>
      <c r="G8" s="50" t="n">
        <v>72</v>
      </c>
      <c r="H8" s="51" t="n">
        <v>1.8</v>
      </c>
      <c r="I8" s="54" t="n">
        <v>9.432</v>
      </c>
    </row>
    <row r="9" customFormat="false" ht="21.75" hidden="false" customHeight="true" outlineLevel="0" collapsed="false">
      <c r="B9" s="35" t="s">
        <v>117</v>
      </c>
      <c r="C9" s="55" t="n">
        <v>18000</v>
      </c>
      <c r="D9" s="47" t="s">
        <v>145</v>
      </c>
      <c r="E9" s="48" t="n">
        <v>65</v>
      </c>
      <c r="F9" s="49" t="n">
        <v>0.35</v>
      </c>
      <c r="G9" s="50" t="n">
        <v>75</v>
      </c>
      <c r="H9" s="51" t="n">
        <v>1.5</v>
      </c>
      <c r="I9" s="56" t="n">
        <v>-25.625</v>
      </c>
    </row>
    <row r="11" customFormat="false" ht="19.5" hidden="false" customHeight="true" outlineLevel="0" collapsed="false">
      <c r="B11" s="13" t="s">
        <v>146</v>
      </c>
      <c r="C11" s="13"/>
      <c r="D11" s="13"/>
      <c r="E11" s="13"/>
      <c r="F11" s="13"/>
      <c r="G11" s="13"/>
      <c r="H11" s="13"/>
      <c r="I11" s="13"/>
    </row>
  </sheetData>
  <mergeCells count="3">
    <mergeCell ref="B2:I2"/>
    <mergeCell ref="B3:I3"/>
    <mergeCell ref="B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20"/>
    <col collapsed="false" customWidth="true" hidden="false" outlineLevel="0" max="6" min="6" style="0" width="2"/>
  </cols>
  <sheetData>
    <row r="2" customFormat="false" ht="36" hidden="false" customHeight="true" outlineLevel="0" collapsed="false">
      <c r="B2" s="57" t="s">
        <v>147</v>
      </c>
      <c r="C2" s="57"/>
      <c r="D2" s="57"/>
      <c r="E2" s="57"/>
    </row>
    <row r="3" customFormat="false" ht="15.75" hidden="false" customHeight="true" outlineLevel="0" collapsed="false">
      <c r="B3" s="58" t="s">
        <v>148</v>
      </c>
      <c r="C3" s="58"/>
      <c r="D3" s="58"/>
      <c r="E3" s="58"/>
    </row>
    <row r="5" customFormat="false" ht="13.5" hidden="false" customHeight="true" outlineLevel="0" collapsed="false">
      <c r="B5" s="10" t="s">
        <v>149</v>
      </c>
      <c r="C5" s="10"/>
      <c r="D5" s="10"/>
      <c r="E5" s="10"/>
    </row>
    <row r="7" customFormat="false" ht="15.75" hidden="false" customHeight="true" outlineLevel="0" collapsed="false">
      <c r="B7" s="59" t="s">
        <v>150</v>
      </c>
      <c r="C7" s="59" t="s">
        <v>151</v>
      </c>
      <c r="D7" s="60" t="s">
        <v>152</v>
      </c>
      <c r="E7" s="61" t="s">
        <v>153</v>
      </c>
    </row>
    <row r="8" customFormat="false" ht="27.75" hidden="false" customHeight="true" outlineLevel="0" collapsed="false">
      <c r="B8" s="62" t="s">
        <v>65</v>
      </c>
      <c r="C8" s="62" t="s">
        <v>71</v>
      </c>
      <c r="D8" s="63" t="s">
        <v>154</v>
      </c>
      <c r="E8" s="64" t="s">
        <v>107</v>
      </c>
    </row>
    <row r="9" customFormat="false" ht="15.75" hidden="false" customHeight="true" outlineLevel="0" collapsed="false">
      <c r="B9" s="59" t="s">
        <v>155</v>
      </c>
      <c r="C9" s="59" t="s">
        <v>156</v>
      </c>
      <c r="D9" s="60" t="s">
        <v>157</v>
      </c>
      <c r="E9" s="61" t="s">
        <v>158</v>
      </c>
    </row>
    <row r="11" customFormat="false" ht="13.5" hidden="false" customHeight="true" outlineLevel="0" collapsed="false">
      <c r="B11" s="10" t="s">
        <v>159</v>
      </c>
      <c r="C11" s="10"/>
      <c r="D11" s="10"/>
      <c r="E11" s="10"/>
    </row>
    <row r="12" customFormat="false" ht="27.75" hidden="false" customHeight="true" outlineLevel="0" collapsed="false">
      <c r="B12" s="65" t="s">
        <v>86</v>
      </c>
      <c r="C12" s="65" t="s">
        <v>160</v>
      </c>
      <c r="D12" s="65" t="s">
        <v>161</v>
      </c>
      <c r="E12" s="65" t="s">
        <v>162</v>
      </c>
    </row>
    <row r="13" customFormat="false" ht="21.75" hidden="false" customHeight="true" outlineLevel="0" collapsed="false">
      <c r="B13" s="28" t="s">
        <v>107</v>
      </c>
      <c r="C13" s="66" t="s">
        <v>74</v>
      </c>
      <c r="D13" s="67" t="s">
        <v>163</v>
      </c>
      <c r="E13" s="67" t="s">
        <v>164</v>
      </c>
    </row>
    <row r="14" customFormat="false" ht="21.75" hidden="false" customHeight="true" outlineLevel="0" collapsed="false">
      <c r="B14" s="33" t="s">
        <v>112</v>
      </c>
      <c r="C14" s="68" t="s">
        <v>68</v>
      </c>
      <c r="D14" s="67" t="s">
        <v>165</v>
      </c>
      <c r="E14" s="67" t="s">
        <v>166</v>
      </c>
    </row>
    <row r="15" customFormat="false" ht="21.75" hidden="false" customHeight="true" outlineLevel="0" collapsed="false">
      <c r="B15" s="35" t="s">
        <v>117</v>
      </c>
      <c r="C15" s="69" t="s">
        <v>79</v>
      </c>
      <c r="D15" s="67" t="s">
        <v>167</v>
      </c>
      <c r="E15" s="67" t="s">
        <v>168</v>
      </c>
    </row>
    <row r="16" customFormat="false" ht="21.75" hidden="false" customHeight="true" outlineLevel="0" collapsed="false">
      <c r="B16" s="37" t="s">
        <v>120</v>
      </c>
      <c r="C16" s="70" t="s">
        <v>82</v>
      </c>
      <c r="D16" s="67" t="s">
        <v>169</v>
      </c>
      <c r="E16" s="67" t="s">
        <v>170</v>
      </c>
    </row>
    <row r="18" customFormat="false" ht="13.5" hidden="false" customHeight="true" outlineLevel="0" collapsed="false">
      <c r="B18" s="10" t="s">
        <v>171</v>
      </c>
      <c r="C18" s="10"/>
      <c r="D18" s="10"/>
      <c r="E18" s="10"/>
    </row>
    <row r="19" customFormat="false" ht="27.75" hidden="false" customHeight="true" outlineLevel="0" collapsed="false">
      <c r="B19" s="71" t="s">
        <v>172</v>
      </c>
      <c r="C19" s="72" t="s">
        <v>173</v>
      </c>
      <c r="D19" s="72"/>
      <c r="E19" s="72"/>
    </row>
    <row r="20" customFormat="false" ht="27.75" hidden="false" customHeight="true" outlineLevel="0" collapsed="false">
      <c r="B20" s="73" t="s">
        <v>174</v>
      </c>
      <c r="C20" s="74" t="s">
        <v>175</v>
      </c>
      <c r="D20" s="74"/>
      <c r="E20" s="74"/>
    </row>
    <row r="21" customFormat="false" ht="27.75" hidden="false" customHeight="true" outlineLevel="0" collapsed="false">
      <c r="B21" s="75" t="s">
        <v>176</v>
      </c>
      <c r="C21" s="76" t="s">
        <v>177</v>
      </c>
      <c r="D21" s="76"/>
      <c r="E21" s="76"/>
    </row>
    <row r="22" customFormat="false" ht="27.75" hidden="false" customHeight="true" outlineLevel="0" collapsed="false">
      <c r="B22" s="71" t="s">
        <v>178</v>
      </c>
      <c r="C22" s="72" t="s">
        <v>179</v>
      </c>
      <c r="D22" s="72"/>
      <c r="E22" s="72"/>
    </row>
  </sheetData>
  <mergeCells count="6">
    <mergeCell ref="B2:E2"/>
    <mergeCell ref="B3:E3"/>
    <mergeCell ref="C19:E19"/>
    <mergeCell ref="C20:E20"/>
    <mergeCell ref="C21:E21"/>
    <mergeCell ref="C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2026-04-24T22:09:55Z</dcterms:created>
  <dc:creator>openpyxl</dc:creator>
  <dc:description/>
  <dc:language>en-US</dc:language>
  <cp:lastModifiedBy/>
  <dcterms:modified xsi:type="dcterms:W3CDTF">2026-04-24T22:11:03Z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