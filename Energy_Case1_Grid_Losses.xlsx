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1. Network Overview" sheetId="2" state="visible" r:id="rId4"/>
    <sheet name="2. Loss Rate Trend" sheetId="3" state="visible" r:id="rId5"/>
    <sheet name="3. SAIDI Analysis" sheetId="4" state="visible" r:id="rId6"/>
    <sheet name="4. Loss Cost Model" sheetId="5" state="visible" r:id="rId7"/>
    <sheet name="5. Dashboard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<sst xmlns="http://schemas.openxmlformats.org/spreadsheetml/2006/main" count="151" uniqueCount="137">
  <si>
    <t xml:space="preserve">Where Is the Grid Leaking Money?</t>
  </si>
  <si>
    <t xml:space="preserve">Distribution Network Performance Analysis — 3 Regional Zones, Germany</t>
  </si>
  <si>
    <t xml:space="preserve">Sector</t>
  </si>
  <si>
    <t xml:space="preserve">Energy &amp; Utilities</t>
  </si>
  <si>
    <t xml:space="preserve">Network Coverage</t>
  </si>
  <si>
    <t xml:space="preserve">3 Regional Zones — North, Central, South</t>
  </si>
  <si>
    <t xml:space="preserve">Analysis Period</t>
  </si>
  <si>
    <t xml:space="preserve">2020 – 2023</t>
  </si>
  <si>
    <t xml:space="preserve">National SAIDI Benchmark</t>
  </si>
  <si>
    <t xml:space="preserve">12.8 min/customer (Bundesnetzagentur 2023)</t>
  </si>
  <si>
    <t xml:space="preserve">National Loss Rate Benchmark</t>
  </si>
  <si>
    <t xml:space="preserve">5.6% (Bundesnetzagentur Monitoring Report 2024)</t>
  </si>
  <si>
    <t xml:space="preserve">Excess Loss Cost Identified</t>
  </si>
  <si>
    <t xml:space="preserve">€8.3M annually above benchmark</t>
  </si>
  <si>
    <t xml:space="preserve">Primary Data Sources</t>
  </si>
  <si>
    <t xml:space="preserve">Bundesnetzagentur · BDEW · CEER · Clean Energy Wire</t>
  </si>
  <si>
    <t xml:space="preserve">Contents</t>
  </si>
  <si>
    <t xml:space="preserve">1. Network Overview</t>
  </si>
  <si>
    <t xml:space="preserve">Zone characteristics, infrastructure profiles, and assumptions</t>
  </si>
  <si>
    <t xml:space="preserve">2. Loss Rate Trend</t>
  </si>
  <si>
    <t xml:space="preserve">Grid loss rate by zone 2020–2023 vs national benchmark</t>
  </si>
  <si>
    <t xml:space="preserve">3. SAIDI Analysis</t>
  </si>
  <si>
    <t xml:space="preserve">Outage minutes by zone and fault category (2023)</t>
  </si>
  <si>
    <t xml:space="preserve">4. Loss Cost Model</t>
  </si>
  <si>
    <t xml:space="preserve">Financial cost of excess losses above national benchmark</t>
  </si>
  <si>
    <t xml:space="preserve">5. Dashboard</t>
  </si>
  <si>
    <t xml:space="preserve">Summary KPIs, findings, and investment priorities</t>
  </si>
  <si>
    <t xml:space="preserve">Network Zone Characteristics &amp; Assumptions</t>
  </si>
  <si>
    <t xml:space="preserve">Infrastructure profiles consistent with Bundesnetzagentur network expansion data and BDEW infrastructure surveys. Asset age and cabling ratios are representative benchmarks for German DSO zones of this type.</t>
  </si>
  <si>
    <t xml:space="preserve">A — ZONE INFRASTRUCTURE PROFILES</t>
  </si>
  <si>
    <t xml:space="preserve">Zone</t>
  </si>
  <si>
    <t xml:space="preserve">Circuit Length (km)</t>
  </si>
  <si>
    <t xml:space="preserve">Customers</t>
  </si>
  <si>
    <t xml:space="preserve">Avg Asset Age (yrs)</t>
  </si>
  <si>
    <t xml:space="preserve">Underground %</t>
  </si>
  <si>
    <t xml:space="preserve">Renewable Penetration %</t>
  </si>
  <si>
    <t xml:space="preserve">Load Type</t>
  </si>
  <si>
    <t xml:space="preserve">Key Characteristic</t>
  </si>
  <si>
    <t xml:space="preserve">North Zone</t>
  </si>
  <si>
    <t xml:space="preserve">38%</t>
  </si>
  <si>
    <t xml:space="preserve">28%</t>
  </si>
  <si>
    <t xml:space="preserve">Rural / Mixed</t>
  </si>
  <si>
    <t xml:space="preserve">Oldest assets, highest RE penetration, overhead-heavy</t>
  </si>
  <si>
    <t xml:space="preserve">Central Zone</t>
  </si>
  <si>
    <t xml:space="preserve">61%</t>
  </si>
  <si>
    <t xml:space="preserve">14%</t>
  </si>
  <si>
    <t xml:space="preserve">Urban / Industrial</t>
  </si>
  <si>
    <t xml:space="preserve">Highest load density, mid-age assets, mostly underground</t>
  </si>
  <si>
    <t xml:space="preserve">South Zone</t>
  </si>
  <si>
    <t xml:space="preserve">74%</t>
  </si>
  <si>
    <t xml:space="preserve">9%</t>
  </si>
  <si>
    <t xml:space="preserve">Suburban / Residential</t>
  </si>
  <si>
    <t xml:space="preserve">Newest assets, high underground ratio, recently upgraded</t>
  </si>
  <si>
    <t xml:space="preserve">B — MODEL ASSUMPTIONS</t>
  </si>
  <si>
    <t xml:space="preserve">Parameter</t>
  </si>
  <si>
    <t xml:space="preserve">Value</t>
  </si>
  <si>
    <t xml:space="preserve">Source</t>
  </si>
  <si>
    <t xml:space="preserve">National loss rate benchmark</t>
  </si>
  <si>
    <t xml:space="preserve">5.6%</t>
  </si>
  <si>
    <t xml:space="preserve">Bundesnetzagentur Monitoring Report 2024 — 27 TWh losses / 482.4 TWh net generation</t>
  </si>
  <si>
    <t xml:space="preserve">National SAIDI benchmark (2023)</t>
  </si>
  <si>
    <t xml:space="preserve">12.8 min</t>
  </si>
  <si>
    <t xml:space="preserve">Bundesnetzagentur Press Release, November 2024</t>
  </si>
  <si>
    <t xml:space="preserve">Loss energy procurement price</t>
  </si>
  <si>
    <t xml:space="preserve">€85/MWh</t>
  </si>
  <si>
    <t xml:space="preserve">Bundesnetzagentur Monitoring Report 2024 — average reference price for loss energy</t>
  </si>
  <si>
    <t xml:space="preserve">Total DSO network feed-in</t>
  </si>
  <si>
    <t xml:space="preserve">4.20 TWh/year</t>
  </si>
  <si>
    <t xml:space="preserve">Sum of three zone estimates consistent with mid-sized German DSO profile</t>
  </si>
  <si>
    <t xml:space="preserve">North Zone feed-in share</t>
  </si>
  <si>
    <t xml:space="preserve">44%</t>
  </si>
  <si>
    <t xml:space="preserve">Largest zone by circuit length — proportional allocation</t>
  </si>
  <si>
    <t xml:space="preserve">Central Zone feed-in share</t>
  </si>
  <si>
    <t xml:space="preserve">36%</t>
  </si>
  <si>
    <t xml:space="preserve">Highest load density — density-adjusted allocation</t>
  </si>
  <si>
    <t xml:space="preserve">South Zone feed-in share</t>
  </si>
  <si>
    <t xml:space="preserve">20%</t>
  </si>
  <si>
    <t xml:space="preserve">Smallest customer base and lowest industrial load</t>
  </si>
  <si>
    <t xml:space="preserve">Grid Loss Rate by Zone — 2020 to 2023</t>
  </si>
  <si>
    <t xml:space="preserve">Loss rate = electricity lost in network / electricity fed in. National benchmark: 5.6% (Bundesnetzagentur 2024). North Zone deterioration is the primary driver of company-wide increase.</t>
  </si>
  <si>
    <t xml:space="preserve">2020</t>
  </si>
  <si>
    <t xml:space="preserve">2021</t>
  </si>
  <si>
    <t xml:space="preserve">2022</t>
  </si>
  <si>
    <t xml:space="preserve">2023</t>
  </si>
  <si>
    <t xml:space="preserve">vs Benchmark 2023</t>
  </si>
  <si>
    <t xml:space="preserve">National Benchmark</t>
  </si>
  <si>
    <t xml:space="preserve">SAIDI Analysis — Outage Minutes by Zone and Fault Category (2023)</t>
  </si>
  <si>
    <t xml:space="preserve">SAIDI = System Average Interruption Duration Index. National benchmark: 12.8 min/customer (Bundesnetzagentur 2023). Source: Bundesnetzagentur SAIDI-Strom annual publication.</t>
  </si>
  <si>
    <t xml:space="preserve">Equipment Failure (min)</t>
  </si>
  <si>
    <t xml:space="preserve">Third-Party Interf. (min)</t>
  </si>
  <si>
    <t xml:space="preserve">Weather Related (min)</t>
  </si>
  <si>
    <t xml:space="preserve">Planned Maint. (min)</t>
  </si>
  <si>
    <t xml:space="preserve">Total SAIDI (min)</t>
  </si>
  <si>
    <t xml:space="preserve">vs Benchmark</t>
  </si>
  <si>
    <t xml:space="preserve">Annual Loss Energy Cost Model — Actual vs Benchmark</t>
  </si>
  <si>
    <t xml:space="preserve">Loss energy cost = (actual loss rate - benchmark rate) × feed-in volume × procurement price. Price: €85/MWh (Bundesnetzagentur 2024). Feed-in: 4.20 TWh total DSO.</t>
  </si>
  <si>
    <t xml:space="preserve">Feed-In Volume (TWh)</t>
  </si>
  <si>
    <t xml:space="preserve">Actual Loss Rate</t>
  </si>
  <si>
    <t xml:space="preserve">Benchmark Rate</t>
  </si>
  <si>
    <t xml:space="preserve">Actual Loss (GWh)</t>
  </si>
  <si>
    <t xml:space="preserve">Benchmark Loss (GWh)</t>
  </si>
  <si>
    <t xml:space="preserve">Excess Loss (GWh)</t>
  </si>
  <si>
    <t xml:space="preserve">Excess Cost (€M)</t>
  </si>
  <si>
    <t xml:space="preserve">TOTAL</t>
  </si>
  <si>
    <t xml:space="preserve">Where Is the Grid Leaking Money? — Performance Dashboard</t>
  </si>
  <si>
    <t xml:space="preserve">Energy Case Study 01 · Distribution Network Performance · Shivam Asthana</t>
  </si>
  <si>
    <t xml:space="preserve">KEY METRICS</t>
  </si>
  <si>
    <t xml:space="preserve">Company Loss Rate (2023)</t>
  </si>
  <si>
    <t xml:space="preserve">Company SAIDI (2023)</t>
  </si>
  <si>
    <t xml:space="preserve">Excess Loss Cost</t>
  </si>
  <si>
    <t xml:space="preserve">North Zone Share</t>
  </si>
  <si>
    <t xml:space="preserve">6.8%</t>
  </si>
  <si>
    <t xml:space="preserve">17.4 min</t>
  </si>
  <si>
    <t xml:space="preserve">€8.3M/year</t>
  </si>
  <si>
    <t xml:space="preserve">71%</t>
  </si>
  <si>
    <t xml:space="preserve">vs 5.6% national benchmark</t>
  </si>
  <si>
    <t xml:space="preserve">vs 12.8 min national benchmark</t>
  </si>
  <si>
    <t xml:space="preserve">Annual cost above benchmark loss rate</t>
  </si>
  <si>
    <t xml:space="preserve">€5.9M of total excess cost</t>
  </si>
  <si>
    <t xml:space="preserve">KEY FINDINGS</t>
  </si>
  <si>
    <t xml:space="preserve">North Zone 8.9% loss rate</t>
  </si>
  <si>
    <t xml:space="preserve">3.3pp above national benchmark. Oldest assets (32yr avg), highest RE penetration (28%). Asset-RE interaction is primary driver.</t>
  </si>
  <si>
    <t xml:space="preserve">South Zone below benchmark</t>
  </si>
  <si>
    <t xml:space="preserve">5.1% loss rate — recent infrastructure upgrade programme demonstrably working. Validates investment thesis.</t>
  </si>
  <si>
    <t xml:space="preserve">SAIDI 2.4× benchmark in North</t>
  </si>
  <si>
    <t xml:space="preserve">30.6 min vs 12.8 min national. Equipment failure dominant (16.2 min). Third-party interference elevated (7.8 min) due to overhead exposure.</t>
  </si>
  <si>
    <t xml:space="preserve">RE penetration amplifies aging</t>
  </si>
  <si>
    <t xml:space="preserve">Central Zone (26yr, 14% RE) outperforms North Zone (32yr, 28% RE) disproportionately — confirming RE as compounding factor, not age alone.</t>
  </si>
  <si>
    <t xml:space="preserve">INVESTMENT PRIORITIES</t>
  </si>
  <si>
    <t xml:space="preserve">1 · Immediate</t>
  </si>
  <si>
    <t xml:space="preserve">Targeted asset replacement in North Zone RE-stressed feeder areas — €5.9M annual saving potential</t>
  </si>
  <si>
    <t xml:space="preserve">2 · Short Term</t>
  </si>
  <si>
    <t xml:space="preserve">Active voltage management (tap changers, reactive power compensation) — interim loss reduction €0.4–0.6pp</t>
  </si>
  <si>
    <t xml:space="preserve">3 · Medium Term</t>
  </si>
  <si>
    <t xml:space="preserve">Overhead-to-underground conversion on highest-incident North Zone feeder sections</t>
  </si>
  <si>
    <t xml:space="preserve">4 · Ongoing</t>
  </si>
  <si>
    <t xml:space="preserve">Zone-level KPI monitoring (loss rate, SAIDI, loss cost) with quarterly board reporting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</si>
</sst>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%"/>
    <numFmt numFmtId="166" formatCode="\+0.0%;\-0.0%;0.0%"/>
    <numFmt numFmtId="167" formatCode="0.0"/>
    <numFmt numFmtId="168" formatCode="\+0.0;\-0.0;0.0"/>
    <numFmt numFmtId="169" formatCode="#,##0.0"/>
    <numFmt numFmtId="170" formatCode="\€#,##0.00"/>
    <numFmt numFmtId="171" formatCode="0.00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C3F6E"/>
      <name val="Arial"/>
      <family val="0"/>
      <charset val="1"/>
    </font>
    <font>
      <sz val="12"/>
      <color rgb="FF6B6860"/>
      <name val="Arial"/>
      <family val="0"/>
      <charset val="1"/>
    </font>
    <font>
      <b val="true"/>
      <sz val="9"/>
      <color rgb="FF6B6860"/>
      <name val="Arial"/>
      <family val="0"/>
      <charset val="1"/>
    </font>
    <font>
      <sz val="9"/>
      <color rgb="FF181818"/>
      <name val="Arial"/>
      <family val="0"/>
      <charset val="1"/>
    </font>
    <font>
      <b val="true"/>
      <sz val="11"/>
      <color rgb="FF1C3F6E"/>
      <name val="Arial"/>
      <family val="0"/>
      <charset val="1"/>
    </font>
    <font>
      <b val="true"/>
      <sz val="9"/>
      <color rgb="FF1C3F6E"/>
      <name val="Arial"/>
      <family val="0"/>
      <charset val="1"/>
    </font>
    <font>
      <sz val="9"/>
      <color rgb="FF6B6860"/>
      <name val="Arial"/>
      <family val="0"/>
      <charset val="1"/>
    </font>
    <font>
      <b val="true"/>
      <sz val="13"/>
      <color rgb="FF1C3F6E"/>
      <name val="Arial"/>
      <family val="0"/>
      <charset val="1"/>
    </font>
    <font>
      <i val="true"/>
      <sz val="8"/>
      <color rgb="FF6B686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181818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9"/>
      <color rgb="FFC0392B"/>
      <name val="Arial"/>
      <family val="0"/>
      <charset val="1"/>
    </font>
    <font>
      <b val="true"/>
      <sz val="9"/>
      <color rgb="FF2E7D55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5"/>
      <color rgb="FF1C3F6E"/>
      <name val="Arial"/>
      <family val="0"/>
      <charset val="1"/>
    </font>
    <font>
      <i val="true"/>
      <sz val="9"/>
      <color rgb="FF6B6860"/>
      <name val="Arial"/>
      <family val="0"/>
      <charset val="1"/>
    </font>
    <font>
      <sz val="8"/>
      <color rgb="FF6B6860"/>
      <name val="Arial"/>
      <family val="0"/>
      <charset val="1"/>
    </font>
    <font>
      <b val="true"/>
      <sz val="14"/>
      <color rgb="FFC0392B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C3F6E"/>
        <bgColor rgb="FF333399"/>
      </patternFill>
    </fill>
    <fill>
      <patternFill patternType="solid">
        <fgColor rgb="FFD6E4F0"/>
        <bgColor rgb="FFD9D9D9"/>
      </patternFill>
    </fill>
    <fill>
      <patternFill patternType="solid">
        <fgColor rgb="FFFFFFFF"/>
        <bgColor rgb="FFFDF5E6"/>
      </patternFill>
    </fill>
    <fill>
      <patternFill patternType="solid">
        <fgColor rgb="FFFDE8B4"/>
        <bgColor rgb="FFFDECEA"/>
      </patternFill>
    </fill>
    <fill>
      <patternFill patternType="solid">
        <fgColor rgb="FFC8E6D4"/>
        <bgColor rgb="FFD6E4F0"/>
      </patternFill>
    </fill>
    <fill>
      <patternFill patternType="solid">
        <fgColor rgb="FFFDECEA"/>
        <bgColor rgb="FFFDF5E6"/>
      </patternFill>
    </fill>
    <fill>
      <patternFill patternType="solid">
        <fgColor rgb="FFEBF5EF"/>
        <bgColor rgb="FFFDF5E6"/>
      </patternFill>
    </fill>
    <fill>
      <patternFill patternType="solid">
        <fgColor rgb="FFFDF5E6"/>
        <bgColor rgb="FFFDECE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0CEC6"/>
      </left>
      <right style="thin">
        <color rgb="FFD0CEC6"/>
      </right>
      <top style="thin">
        <color rgb="FFD0CEC6"/>
      </top>
      <bottom style="thin">
        <color rgb="FFD0CEC6"/>
      </bottom>
      <diagonal/>
    </border>
    <border diagonalUp="false" diagonalDown="false">
      <left style="thin">
        <color rgb="FFD0CEC6"/>
      </left>
      <right/>
      <top style="thin">
        <color rgb="FFD0CEC6"/>
      </top>
      <bottom style="thin">
        <color rgb="FFD0CEC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DECEA"/>
      <rgbColor rgb="FFFF00FF"/>
      <rgbColor rgb="FF00FFFF"/>
      <rgbColor rgb="FF800000"/>
      <rgbColor rgb="FF008000"/>
      <rgbColor rgb="FF000080"/>
      <rgbColor rgb="FFC07A1A"/>
      <rgbColor rgb="FF800080"/>
      <rgbColor rgb="FF398BA2"/>
      <rgbColor rgb="FFB0BEC5"/>
      <rgbColor rgb="FF878787"/>
      <rgbColor rgb="FF7EB8D4"/>
      <rgbColor rgb="FFBE4B48"/>
      <rgbColor rgb="FFFDF5E6"/>
      <rgbColor rgb="FFEBF5EF"/>
      <rgbColor rgb="FF660066"/>
      <rgbColor rgb="FFF5924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C8E6D4"/>
      <rgbColor rgb="FFFDE8B4"/>
      <rgbColor rgb="FFA5B5D3"/>
      <rgbColor rgb="FFD4A5A4"/>
      <rgbColor rgb="FFB4AAC5"/>
      <rgbColor rgb="FFD0CEC6"/>
      <rgbColor rgb="FF4A7EBB"/>
      <rgbColor rgb="FF46AAC4"/>
      <rgbColor rgb="FF98B855"/>
      <rgbColor rgb="FFC0D2A7"/>
      <rgbColor rgb="FFF5A623"/>
      <rgbColor rgb="FFCB7934"/>
      <rgbColor rgb="FF7D5FA0"/>
      <rgbColor rgb="FF999999"/>
      <rgbColor rgb="FF1C3F6E"/>
      <rgbColor rgb="FF2E7D55"/>
      <rgbColor rgb="FF181818"/>
      <rgbColor rgb="FF333300"/>
      <rgbColor rgb="FFC0392B"/>
      <rgbColor rgb="FF6B6860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Grid Loss Rate by Zone 2020–2023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"North Zone"</c:f>
              <c:strCache>
                <c:ptCount val="1"/>
                <c:pt idx="0">
                  <c:v>North Zone</c:v>
                </c:pt>
              </c:strCache>
            </c:strRef>
          </c:tx>
          <c:spPr>
            <a:solidFill>
              <a:srgbClr val="1c3f6e"/>
            </a:solidFill>
            <a:ln w="20160">
              <a:solidFill>
                <a:srgbClr val="1c3f6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'2. Loss Rate Trend'!$C$6:$F$6</c:f>
              <c:multiLvlStrCache>
                <c:ptCount val="1"/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</c:multiLvlStrCache>
            </c:multiLvlStrRef>
          </c:cat>
          <c:val>
            <c:numRef>
              <c:f>'2. Loss Rate Trend'!$C$7</c:f>
              <c:numCache>
                <c:formatCode>0.0%</c:formatCode>
                <c:ptCount val="1"/>
                <c:pt idx="0">
                  <c:v>0.058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"Central Zone"</c:f>
              <c:strCache>
                <c:ptCount val="1"/>
                <c:pt idx="0">
                  <c:v>Central Zone</c:v>
                </c:pt>
              </c:strCache>
            </c:strRef>
          </c:tx>
          <c:spPr>
            <a:solidFill>
              <a:srgbClr val="c07a1a"/>
            </a:solidFill>
            <a:ln w="20160">
              <a:solidFill>
                <a:srgbClr val="c07a1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'2. Loss Rate Trend'!$C$6:$F$6</c:f>
              <c:multiLvlStrCache>
                <c:ptCount val="1"/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</c:multiLvlStrCache>
            </c:multiLvlStrRef>
          </c:cat>
          <c:val>
            <c:numRef>
              <c:f>'2. Loss Rate Trend'!$D$7</c:f>
              <c:numCache>
                <c:formatCode>0.0%</c:formatCode>
                <c:ptCount val="1"/>
                <c:pt idx="0">
                  <c:v>0.065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"South Zone"</c:f>
              <c:strCache>
                <c:ptCount val="1"/>
                <c:pt idx="0">
                  <c:v>South Zone</c:v>
                </c:pt>
              </c:strCache>
            </c:strRef>
          </c:tx>
          <c:spPr>
            <a:solidFill>
              <a:srgbClr val="2e7d55"/>
            </a:solidFill>
            <a:ln w="20160">
              <a:solidFill>
                <a:srgbClr val="2e7d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'2. Loss Rate Trend'!$C$6:$F$6</c:f>
              <c:multiLvlStrCache>
                <c:ptCount val="1"/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</c:multiLvlStrCache>
            </c:multiLvlStrRef>
          </c:cat>
          <c:val>
            <c:numRef>
              <c:f>'2. Loss Rate Trend'!$E$7</c:f>
              <c:numCache>
                <c:formatCode>0.0%</c:formatCode>
                <c:ptCount val="1"/>
                <c:pt idx="0">
                  <c:v>0.076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"National Benchmark"</c:f>
              <c:strCache>
                <c:ptCount val="1"/>
                <c:pt idx="0">
                  <c:v>National Benchmark</c:v>
                </c:pt>
              </c:strCache>
            </c:strRef>
          </c:tx>
          <c:spPr>
            <a:solidFill>
              <a:srgbClr val="999999"/>
            </a:solidFill>
            <a:ln w="20160">
              <a:solidFill>
                <a:srgbClr val="99999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'2. Loss Rate Trend'!$C$6:$F$6</c:f>
              <c:multiLvlStrCache>
                <c:ptCount val="1"/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</c:multiLvlStrCache>
            </c:multiLvlStrRef>
          </c:cat>
          <c:val>
            <c:numRef>
              <c:f>'2. Loss Rate Trend'!$F$7</c:f>
              <c:numCache>
                <c:formatCode>0.0%</c:formatCode>
                <c:ptCount val="1"/>
                <c:pt idx="0">
                  <c:v>0.089</c:v>
                </c:pt>
              </c:numCache>
            </c:numRef>
          </c:val>
          <c:smooth val="1"/>
        </c:ser>
        <c:ser>
          <c:idx val="4"/>
          <c:order val="4"/>
          <c:spPr>
            <a:solidFill>
              <a:srgbClr val="398ba2"/>
            </a:solidFill>
            <a:ln w="28440">
              <a:solidFill>
                <a:srgbClr val="398ba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'2. Loss Rate Trend'!$C$6:$F$6</c:f>
              <c:multiLvlStrCache>
                <c:ptCount val="1"/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</c:multiLvlStrCache>
            </c:multiLvlStrRef>
          </c:cat>
          <c:val>
            <c:numRef>
              <c:f>'2. Loss Rate Trend'!$C$8</c:f>
              <c:numCache>
                <c:formatCode>0.0%</c:formatCode>
                <c:ptCount val="1"/>
                <c:pt idx="0">
                  <c:v>0.052</c:v>
                </c:pt>
              </c:numCache>
            </c:numRef>
          </c:val>
          <c:smooth val="1"/>
        </c:ser>
        <c:ser>
          <c:idx val="5"/>
          <c:order val="5"/>
          <c:spPr>
            <a:solidFill>
              <a:srgbClr val="cb7934"/>
            </a:solidFill>
            <a:ln w="28440">
              <a:solidFill>
                <a:srgbClr val="cb793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'2. Loss Rate Trend'!$C$6:$F$6</c:f>
              <c:multiLvlStrCache>
                <c:ptCount val="1"/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</c:multiLvlStrCache>
            </c:multiLvlStrRef>
          </c:cat>
          <c:val>
            <c:numRef>
              <c:f>'2. Loss Rate Trend'!$D$8</c:f>
              <c:numCache>
                <c:formatCode>0.0%</c:formatCode>
                <c:ptCount val="1"/>
                <c:pt idx="0">
                  <c:v>0.054</c:v>
                </c:pt>
              </c:numCache>
            </c:numRef>
          </c:val>
          <c:smooth val="1"/>
        </c:ser>
        <c:ser>
          <c:idx val="6"/>
          <c:order val="6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'2. Loss Rate Trend'!$C$6:$F$6</c:f>
              <c:multiLvlStrCache>
                <c:ptCount val="1"/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</c:multiLvlStrCache>
            </c:multiLvlStrRef>
          </c:cat>
          <c:val>
            <c:numRef>
              <c:f>'2. Loss Rate Trend'!$E$8</c:f>
              <c:numCache>
                <c:formatCode>0.0%</c:formatCode>
                <c:ptCount val="1"/>
                <c:pt idx="0">
                  <c:v>0.057</c:v>
                </c:pt>
              </c:numCache>
            </c:numRef>
          </c:val>
          <c:smooth val="1"/>
        </c:ser>
        <c:ser>
          <c:idx val="7"/>
          <c:order val="7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'2. Loss Rate Trend'!$C$6:$F$6</c:f>
              <c:multiLvlStrCache>
                <c:ptCount val="1"/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</c:multiLvlStrCache>
            </c:multiLvlStrRef>
          </c:cat>
          <c:val>
            <c:numRef>
              <c:f>'2. Loss Rate Trend'!$F$8</c:f>
              <c:numCache>
                <c:formatCode>0.0%</c:formatCode>
                <c:ptCount val="1"/>
                <c:pt idx="0">
                  <c:v>0.061</c:v>
                </c:pt>
              </c:numCache>
            </c:numRef>
          </c:val>
          <c:smooth val="1"/>
        </c:ser>
        <c:ser>
          <c:idx val="8"/>
          <c:order val="8"/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'2. Loss Rate Trend'!$C$6:$F$6</c:f>
              <c:multiLvlStrCache>
                <c:ptCount val="1"/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</c:multiLvlStrCache>
            </c:multiLvlStrRef>
          </c:cat>
          <c:val>
            <c:numRef>
              <c:f>'2. Loss Rate Trend'!$C$9</c:f>
              <c:numCache>
                <c:formatCode>0.0%</c:formatCode>
                <c:ptCount val="1"/>
                <c:pt idx="0">
                  <c:v>0.061</c:v>
                </c:pt>
              </c:numCache>
            </c:numRef>
          </c:val>
          <c:smooth val="1"/>
        </c:ser>
        <c:ser>
          <c:idx val="9"/>
          <c:order val="9"/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'2. Loss Rate Trend'!$C$6:$F$6</c:f>
              <c:multiLvlStrCache>
                <c:ptCount val="1"/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</c:multiLvlStrCache>
            </c:multiLvlStrRef>
          </c:cat>
          <c:val>
            <c:numRef>
              <c:f>'2. Loss Rate Trend'!$D$9</c:f>
              <c:numCache>
                <c:formatCode>0.0%</c:formatCode>
                <c:ptCount val="1"/>
                <c:pt idx="0">
                  <c:v>0.058</c:v>
                </c:pt>
              </c:numCache>
            </c:numRef>
          </c:val>
          <c:smooth val="1"/>
        </c:ser>
        <c:ser>
          <c:idx val="10"/>
          <c:order val="10"/>
          <c:spPr>
            <a:solidFill>
              <a:srgbClr val="46aac4"/>
            </a:solidFill>
            <a:ln w="28440">
              <a:solidFill>
                <a:srgbClr val="46aa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'2. Loss Rate Trend'!$C$6:$F$6</c:f>
              <c:multiLvlStrCache>
                <c:ptCount val="1"/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</c:multiLvlStrCache>
            </c:multiLvlStrRef>
          </c:cat>
          <c:val>
            <c:numRef>
              <c:f>'2. Loss Rate Trend'!$E$9</c:f>
              <c:numCache>
                <c:formatCode>0.0%</c:formatCode>
                <c:ptCount val="1"/>
                <c:pt idx="0">
                  <c:v>0.054</c:v>
                </c:pt>
              </c:numCache>
            </c:numRef>
          </c:val>
          <c:smooth val="1"/>
        </c:ser>
        <c:ser>
          <c:idx val="11"/>
          <c:order val="11"/>
          <c:spPr>
            <a:solidFill>
              <a:srgbClr val="f59240"/>
            </a:solidFill>
            <a:ln w="28440">
              <a:solidFill>
                <a:srgbClr val="f5924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'2. Loss Rate Trend'!$C$6:$F$6</c:f>
              <c:multiLvlStrCache>
                <c:ptCount val="1"/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</c:multiLvlStrCache>
            </c:multiLvlStrRef>
          </c:cat>
          <c:val>
            <c:numRef>
              <c:f>'2. Loss Rate Trend'!$F$9</c:f>
              <c:numCache>
                <c:formatCode>0.0%</c:formatCode>
                <c:ptCount val="1"/>
                <c:pt idx="0">
                  <c:v>0.051</c:v>
                </c:pt>
              </c:numCache>
            </c:numRef>
          </c:val>
          <c:smooth val="1"/>
        </c:ser>
        <c:ser>
          <c:idx val="12"/>
          <c:order val="12"/>
          <c:spPr>
            <a:solidFill>
              <a:srgbClr val="a5b5d3"/>
            </a:solidFill>
            <a:ln w="28440">
              <a:solidFill>
                <a:srgbClr val="a5b5d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'2. Loss Rate Trend'!$C$6:$F$6</c:f>
              <c:multiLvlStrCache>
                <c:ptCount val="1"/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</c:multiLvlStrCache>
            </c:multiLvlStrRef>
          </c:cat>
          <c:val>
            <c:numRef>
              <c:f>'2. Loss Rate Trend'!$C$10</c:f>
              <c:numCache>
                <c:formatCode>0.0%</c:formatCode>
                <c:ptCount val="1"/>
                <c:pt idx="0">
                  <c:v>0.056</c:v>
                </c:pt>
              </c:numCache>
            </c:numRef>
          </c:val>
          <c:smooth val="1"/>
        </c:ser>
        <c:ser>
          <c:idx val="13"/>
          <c:order val="13"/>
          <c:spPr>
            <a:solidFill>
              <a:srgbClr val="d4a5a4"/>
            </a:solidFill>
            <a:ln w="28440">
              <a:solidFill>
                <a:srgbClr val="d4a5a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'2. Loss Rate Trend'!$C$6:$F$6</c:f>
              <c:multiLvlStrCache>
                <c:ptCount val="1"/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</c:multiLvlStrCache>
            </c:multiLvlStrRef>
          </c:cat>
          <c:val>
            <c:numRef>
              <c:f>'2. Loss Rate Trend'!$D$10</c:f>
              <c:numCache>
                <c:formatCode>0.0%</c:formatCode>
                <c:ptCount val="1"/>
                <c:pt idx="0">
                  <c:v>0.056</c:v>
                </c:pt>
              </c:numCache>
            </c:numRef>
          </c:val>
          <c:smooth val="1"/>
        </c:ser>
        <c:ser>
          <c:idx val="14"/>
          <c:order val="14"/>
          <c:spPr>
            <a:solidFill>
              <a:srgbClr val="c0d2a7"/>
            </a:solidFill>
            <a:ln w="28440">
              <a:solidFill>
                <a:srgbClr val="c0d2a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'2. Loss Rate Trend'!$C$6:$F$6</c:f>
              <c:multiLvlStrCache>
                <c:ptCount val="1"/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</c:multiLvlStrCache>
            </c:multiLvlStrRef>
          </c:cat>
          <c:val>
            <c:numRef>
              <c:f>'2. Loss Rate Trend'!$E$10</c:f>
              <c:numCache>
                <c:formatCode>0.0%</c:formatCode>
                <c:ptCount val="1"/>
                <c:pt idx="0">
                  <c:v>0.056</c:v>
                </c:pt>
              </c:numCache>
            </c:numRef>
          </c:val>
          <c:smooth val="1"/>
        </c:ser>
        <c:ser>
          <c:idx val="15"/>
          <c:order val="15"/>
          <c:spPr>
            <a:solidFill>
              <a:srgbClr val="b4aac5"/>
            </a:solidFill>
            <a:ln w="28440">
              <a:solidFill>
                <a:srgbClr val="b4aac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'2. Loss Rate Trend'!$C$6:$F$6</c:f>
              <c:multiLvlStrCache>
                <c:ptCount val="1"/>
                <c:lvl>
                  <c:pt idx="0">
                    <c:v>2023</c:v>
                  </c:pt>
                </c:lvl>
                <c:lvl>
                  <c:pt idx="0">
                    <c:v>2022</c:v>
                  </c:pt>
                </c:lvl>
                <c:lvl>
                  <c:pt idx="0">
                    <c:v>2021</c:v>
                  </c:pt>
                </c:lvl>
                <c:lvl>
                  <c:pt idx="0">
                    <c:v>2020</c:v>
                  </c:pt>
                </c:lvl>
              </c:multiLvlStrCache>
            </c:multiLvlStrRef>
          </c:cat>
          <c:val>
            <c:numRef>
              <c:f>'2. Loss Rate Trend'!$F$10</c:f>
              <c:numCache>
                <c:formatCode>0.0%</c:formatCode>
                <c:ptCount val="1"/>
                <c:pt idx="0">
                  <c:v>0.056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7489175"/>
        <c:axId val="88292143"/>
      </c:lineChart>
      <c:catAx>
        <c:axId val="57489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292143"/>
        <c:crosses val="autoZero"/>
        <c:auto val="1"/>
        <c:lblAlgn val="ctr"/>
        <c:lblOffset val="100"/>
        <c:noMultiLvlLbl val="0"/>
      </c:catAx>
      <c:valAx>
        <c:axId val="8829214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Loss Rate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48917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SAIDI by Zone and Fault Category (2023)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'3. SAIDI Analysis'!C6</c:f>
              <c:strCache>
                <c:ptCount val="1"/>
                <c:pt idx="0">
                  <c:v>Equipment Failure (min)</c:v>
                </c:pt>
              </c:strCache>
            </c:strRef>
          </c:tx>
          <c:spPr>
            <a:solidFill>
              <a:srgbClr val="c0392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'3. SAIDI Analysis'!$B$7:$B$9</c:f>
              <c:strCache>
                <c:ptCount val="3"/>
                <c:pt idx="0">
                  <c:v>North Zone</c:v>
                </c:pt>
                <c:pt idx="1">
                  <c:v>Central Zone</c:v>
                </c:pt>
                <c:pt idx="2">
                  <c:v>South Zone</c:v>
                </c:pt>
              </c:strCache>
            </c:strRef>
          </c:cat>
          <c:val>
            <c:numRef>
              <c:f>'3. SAIDI Analysis'!$C$7:$C$9</c:f>
              <c:numCache>
                <c:formatCode>0.0</c:formatCode>
                <c:ptCount val="3"/>
                <c:pt idx="0">
                  <c:v>16.2</c:v>
                </c:pt>
                <c:pt idx="1">
                  <c:v>5.8</c:v>
                </c:pt>
                <c:pt idx="2">
                  <c:v>3.4</c:v>
                </c:pt>
              </c:numCache>
            </c:numRef>
          </c:val>
        </c:ser>
        <c:ser>
          <c:idx val="1"/>
          <c:order val="1"/>
          <c:tx>
            <c:strRef>
              <c:f>'3. SAIDI Analysis'!D6</c:f>
              <c:strCache>
                <c:ptCount val="1"/>
                <c:pt idx="0">
                  <c:v>Third-Party Interf. (min)</c:v>
                </c:pt>
              </c:strCache>
            </c:strRef>
          </c:tx>
          <c:spPr>
            <a:solidFill>
              <a:srgbClr val="f5a62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'3. SAIDI Analysis'!$B$7:$B$9</c:f>
              <c:strCache>
                <c:ptCount val="3"/>
                <c:pt idx="0">
                  <c:v>North Zone</c:v>
                </c:pt>
                <c:pt idx="1">
                  <c:v>Central Zone</c:v>
                </c:pt>
                <c:pt idx="2">
                  <c:v>South Zone</c:v>
                </c:pt>
              </c:strCache>
            </c:strRef>
          </c:cat>
          <c:val>
            <c:numRef>
              <c:f>'3. SAIDI Analysis'!$D$7:$D$9</c:f>
              <c:numCache>
                <c:formatCode>0.0</c:formatCode>
                <c:ptCount val="3"/>
                <c:pt idx="0">
                  <c:v>7.8</c:v>
                </c:pt>
                <c:pt idx="1">
                  <c:v>2.6</c:v>
                </c:pt>
                <c:pt idx="2">
                  <c:v>1.8</c:v>
                </c:pt>
              </c:numCache>
            </c:numRef>
          </c:val>
        </c:ser>
        <c:ser>
          <c:idx val="2"/>
          <c:order val="2"/>
          <c:tx>
            <c:strRef>
              <c:f>'3. SAIDI Analysis'!E6</c:f>
              <c:strCache>
                <c:ptCount val="1"/>
                <c:pt idx="0">
                  <c:v>Weather Related (min)</c:v>
                </c:pt>
              </c:strCache>
            </c:strRef>
          </c:tx>
          <c:spPr>
            <a:solidFill>
              <a:srgbClr val="7eb8d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'3. SAIDI Analysis'!$B$7:$B$9</c:f>
              <c:strCache>
                <c:ptCount val="3"/>
                <c:pt idx="0">
                  <c:v>North Zone</c:v>
                </c:pt>
                <c:pt idx="1">
                  <c:v>Central Zone</c:v>
                </c:pt>
                <c:pt idx="2">
                  <c:v>South Zone</c:v>
                </c:pt>
              </c:strCache>
            </c:strRef>
          </c:cat>
          <c:val>
            <c:numRef>
              <c:f>'3. SAIDI Analysis'!$E$7:$E$9</c:f>
              <c:numCache>
                <c:formatCode>0.0</c:formatCode>
                <c:ptCount val="3"/>
                <c:pt idx="0">
                  <c:v>4.1</c:v>
                </c:pt>
                <c:pt idx="1">
                  <c:v>2.2</c:v>
                </c:pt>
                <c:pt idx="2">
                  <c:v>2</c:v>
                </c:pt>
              </c:numCache>
            </c:numRef>
          </c:val>
        </c:ser>
        <c:ser>
          <c:idx val="3"/>
          <c:order val="3"/>
          <c:tx>
            <c:strRef>
              <c:f>'3. SAIDI Analysis'!F6</c:f>
              <c:strCache>
                <c:ptCount val="1"/>
                <c:pt idx="0">
                  <c:v>Planned Maint. (min)</c:v>
                </c:pt>
              </c:strCache>
            </c:strRef>
          </c:tx>
          <c:spPr>
            <a:solidFill>
              <a:srgbClr val="b0bec5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'3. SAIDI Analysis'!$B$7:$B$9</c:f>
              <c:strCache>
                <c:ptCount val="3"/>
                <c:pt idx="0">
                  <c:v>North Zone</c:v>
                </c:pt>
                <c:pt idx="1">
                  <c:v>Central Zone</c:v>
                </c:pt>
                <c:pt idx="2">
                  <c:v>South Zone</c:v>
                </c:pt>
              </c:strCache>
            </c:strRef>
          </c:cat>
          <c:val>
            <c:numRef>
              <c:f>'3. SAIDI Analysis'!$F$7:$F$9</c:f>
              <c:numCache>
                <c:formatCode>0.0</c:formatCode>
                <c:ptCount val="3"/>
                <c:pt idx="0">
                  <c:v>2.5</c:v>
                </c:pt>
                <c:pt idx="1">
                  <c:v>1.8</c:v>
                </c:pt>
                <c:pt idx="2">
                  <c:v>1.9</c:v>
                </c:pt>
              </c:numCache>
            </c:numRef>
          </c:val>
        </c:ser>
        <c:gapWidth val="150"/>
        <c:overlap val="100"/>
        <c:axId val="23433443"/>
        <c:axId val="79571431"/>
      </c:barChart>
      <c:catAx>
        <c:axId val="234334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571431"/>
        <c:crosses val="autoZero"/>
        <c:auto val="1"/>
        <c:lblAlgn val="ctr"/>
        <c:lblOffset val="100"/>
        <c:noMultiLvlLbl val="0"/>
      </c:catAx>
      <c:valAx>
        <c:axId val="7957143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Minutes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43344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13</xdr:row>
      <xdr:rowOff>0</xdr:rowOff>
    </xdr:from>
    <xdr:to>
      <xdr:col>10</xdr:col>
      <xdr:colOff>305640</xdr:colOff>
      <xdr:row>39</xdr:row>
      <xdr:rowOff>86400</xdr:rowOff>
    </xdr:to>
    <xdr:graphicFrame>
      <xdr:nvGraphicFramePr>
        <xdr:cNvPr id="0" name="Chart 1"/>
        <xdr:cNvGraphicFramePr/>
      </xdr:nvGraphicFramePr>
      <xdr:xfrm>
        <a:off x="141120" y="3019320"/>
        <a:ext cx="79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13</xdr:row>
      <xdr:rowOff>0</xdr:rowOff>
    </xdr:from>
    <xdr:to>
      <xdr:col>8</xdr:col>
      <xdr:colOff>448200</xdr:colOff>
      <xdr:row>39</xdr:row>
      <xdr:rowOff>86760</xdr:rowOff>
    </xdr:to>
    <xdr:graphicFrame>
      <xdr:nvGraphicFramePr>
        <xdr:cNvPr id="1" name="Chart 1"/>
        <xdr:cNvGraphicFramePr/>
      </xdr:nvGraphicFramePr>
      <xdr:xfrm>
        <a:off x="141120" y="3181320"/>
        <a:ext cx="79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28"/>
    <col collapsed="false" customWidth="true" hidden="false" outlineLevel="0" max="4" min="4" style="0" width="20"/>
  </cols>
  <sheetData>
    <row r="2" customFormat="false" ht="49.5" hidden="false" customHeight="true" outlineLevel="0" collapsed="false">
      <c r="B2" s="1" t="s">
        <v>0</v>
      </c>
      <c r="C2" s="1"/>
      <c r="D2" s="1"/>
    </row>
    <row r="3" customFormat="false" ht="27.75" hidden="false" customHeight="true" outlineLevel="0" collapsed="false">
      <c r="B3" s="2" t="s">
        <v>1</v>
      </c>
      <c r="C3" s="2"/>
      <c r="D3" s="2"/>
    </row>
    <row r="4" customFormat="false" ht="3" hidden="false" customHeight="true" outlineLevel="0" collapsed="false">
      <c r="B4" s="3"/>
      <c r="C4" s="3"/>
      <c r="D4" s="3"/>
    </row>
    <row r="5" customFormat="false" ht="15.75" hidden="false" customHeight="true" outlineLevel="0" collapsed="false">
      <c r="B5" s="4" t="s">
        <v>2</v>
      </c>
      <c r="C5" s="5" t="s">
        <v>3</v>
      </c>
    </row>
    <row r="6" customFormat="false" ht="15.75" hidden="false" customHeight="true" outlineLevel="0" collapsed="false">
      <c r="B6" s="4" t="s">
        <v>4</v>
      </c>
      <c r="C6" s="5" t="s">
        <v>5</v>
      </c>
    </row>
    <row r="7" customFormat="false" ht="15.75" hidden="false" customHeight="true" outlineLevel="0" collapsed="false">
      <c r="B7" s="4" t="s">
        <v>6</v>
      </c>
      <c r="C7" s="5" t="s">
        <v>7</v>
      </c>
    </row>
    <row r="8" customFormat="false" ht="15.75" hidden="false" customHeight="true" outlineLevel="0" collapsed="false">
      <c r="B8" s="4" t="s">
        <v>8</v>
      </c>
      <c r="C8" s="5" t="s">
        <v>9</v>
      </c>
    </row>
    <row r="9" customFormat="false" ht="15.75" hidden="false" customHeight="true" outlineLevel="0" collapsed="false">
      <c r="B9" s="4" t="s">
        <v>10</v>
      </c>
      <c r="C9" s="5" t="s">
        <v>11</v>
      </c>
    </row>
    <row r="10" customFormat="false" ht="15.75" hidden="false" customHeight="true" outlineLevel="0" collapsed="false">
      <c r="B10" s="4" t="s">
        <v>12</v>
      </c>
      <c r="C10" s="5" t="s">
        <v>13</v>
      </c>
    </row>
    <row r="11" customFormat="false" ht="15.75" hidden="false" customHeight="true" outlineLevel="0" collapsed="false">
      <c r="B11" s="4" t="s">
        <v>14</v>
      </c>
      <c r="C11" s="5" t="s">
        <v>15</v>
      </c>
    </row>
    <row r="13" customFormat="false" ht="19.5" hidden="false" customHeight="true" outlineLevel="0" collapsed="false">
      <c r="B13" s="6" t="s">
        <v>16</v>
      </c>
    </row>
    <row r="14" customFormat="false" ht="15.75" hidden="false" customHeight="true" outlineLevel="0" collapsed="false">
      <c r="B14" s="7" t="s">
        <v>17</v>
      </c>
      <c r="C14" s="8" t="s">
        <v>18</v>
      </c>
    </row>
    <row r="15" customFormat="false" ht="15.75" hidden="false" customHeight="true" outlineLevel="0" collapsed="false">
      <c r="B15" s="7" t="s">
        <v>19</v>
      </c>
      <c r="C15" s="8" t="s">
        <v>20</v>
      </c>
    </row>
    <row r="16" customFormat="false" ht="15.75" hidden="false" customHeight="true" outlineLevel="0" collapsed="false">
      <c r="B16" s="7" t="s">
        <v>21</v>
      </c>
      <c r="C16" s="8" t="s">
        <v>22</v>
      </c>
    </row>
    <row r="17" customFormat="false" ht="15.75" hidden="false" customHeight="true" outlineLevel="0" collapsed="false">
      <c r="B17" s="7" t="s">
        <v>23</v>
      </c>
      <c r="C17" s="8" t="s">
        <v>24</v>
      </c>
    </row>
    <row r="18" customFormat="false" ht="15.75" hidden="false" customHeight="true" outlineLevel="0" collapsed="false">
      <c r="B18" s="7" t="s">
        <v>25</v>
      </c>
      <c r="C18" s="8" t="s">
        <v>26</v>
      </c>
    </row>
  </sheetData>
  <mergeCells count="2">
    <mergeCell ref="B2:D2"/>
    <mergeCell ref="B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8"/>
    <col collapsed="false" customWidth="true" hidden="false" outlineLevel="0" max="5" min="3" style="0" width="14"/>
    <col collapsed="false" customWidth="true" hidden="false" outlineLevel="0" max="6" min="6" style="0" width="16"/>
    <col collapsed="false" customWidth="true" hidden="false" outlineLevel="0" max="8" min="7" style="0" width="18"/>
    <col collapsed="false" customWidth="true" hidden="false" outlineLevel="0" max="9" min="9" style="0" width="2"/>
  </cols>
  <sheetData>
    <row r="2" customFormat="false" ht="27.75" hidden="false" customHeight="true" outlineLevel="0" collapsed="false">
      <c r="B2" s="9" t="s">
        <v>27</v>
      </c>
      <c r="C2" s="9"/>
      <c r="D2" s="9"/>
      <c r="E2" s="9"/>
      <c r="F2" s="9"/>
      <c r="G2" s="9"/>
      <c r="H2" s="9"/>
      <c r="I2" s="9"/>
    </row>
    <row r="3" customFormat="false" ht="15.75" hidden="false" customHeight="true" outlineLevel="0" collapsed="false">
      <c r="B3" s="10" t="s">
        <v>28</v>
      </c>
      <c r="C3" s="10"/>
      <c r="D3" s="10"/>
      <c r="E3" s="10"/>
      <c r="F3" s="10"/>
      <c r="G3" s="10"/>
      <c r="H3" s="10"/>
      <c r="I3" s="10"/>
    </row>
    <row r="5" customFormat="false" ht="19.5" hidden="false" customHeight="true" outlineLevel="0" collapsed="false">
      <c r="B5" s="11" t="s">
        <v>29</v>
      </c>
      <c r="C5" s="11"/>
      <c r="D5" s="11"/>
      <c r="E5" s="11"/>
      <c r="F5" s="11"/>
      <c r="G5" s="11"/>
      <c r="H5" s="11"/>
      <c r="I5" s="11"/>
    </row>
    <row r="6" customFormat="false" ht="31.5" hidden="false" customHeight="true" outlineLevel="0" collapsed="false">
      <c r="B6" s="11" t="s">
        <v>30</v>
      </c>
      <c r="C6" s="11" t="s">
        <v>31</v>
      </c>
      <c r="D6" s="11" t="s">
        <v>32</v>
      </c>
      <c r="E6" s="11" t="s">
        <v>33</v>
      </c>
      <c r="F6" s="11" t="s">
        <v>34</v>
      </c>
      <c r="G6" s="11" t="s">
        <v>35</v>
      </c>
      <c r="H6" s="11" t="s">
        <v>36</v>
      </c>
      <c r="I6" s="11" t="s">
        <v>37</v>
      </c>
    </row>
    <row r="7" customFormat="false" ht="19.5" hidden="false" customHeight="true" outlineLevel="0" collapsed="false">
      <c r="B7" s="12" t="s">
        <v>38</v>
      </c>
      <c r="C7" s="13" t="n">
        <v>3200</v>
      </c>
      <c r="D7" s="14" t="n">
        <v>142000</v>
      </c>
      <c r="E7" s="14" t="n">
        <v>32</v>
      </c>
      <c r="F7" s="14" t="s">
        <v>39</v>
      </c>
      <c r="G7" s="14" t="s">
        <v>40</v>
      </c>
      <c r="H7" s="15" t="s">
        <v>41</v>
      </c>
      <c r="I7" s="15" t="s">
        <v>42</v>
      </c>
    </row>
    <row r="8" customFormat="false" ht="19.5" hidden="false" customHeight="true" outlineLevel="0" collapsed="false">
      <c r="B8" s="16" t="s">
        <v>43</v>
      </c>
      <c r="C8" s="17" t="n">
        <v>1800</v>
      </c>
      <c r="D8" s="14" t="n">
        <v>198000</v>
      </c>
      <c r="E8" s="14" t="n">
        <v>26</v>
      </c>
      <c r="F8" s="14" t="s">
        <v>44</v>
      </c>
      <c r="G8" s="14" t="s">
        <v>45</v>
      </c>
      <c r="H8" s="15" t="s">
        <v>46</v>
      </c>
      <c r="I8" s="15" t="s">
        <v>47</v>
      </c>
    </row>
    <row r="9" customFormat="false" ht="19.5" hidden="false" customHeight="true" outlineLevel="0" collapsed="false">
      <c r="B9" s="18" t="s">
        <v>48</v>
      </c>
      <c r="C9" s="19" t="n">
        <v>2100</v>
      </c>
      <c r="D9" s="14" t="n">
        <v>115000</v>
      </c>
      <c r="E9" s="14" t="n">
        <v>19</v>
      </c>
      <c r="F9" s="14" t="s">
        <v>49</v>
      </c>
      <c r="G9" s="14" t="s">
        <v>50</v>
      </c>
      <c r="H9" s="15" t="s">
        <v>51</v>
      </c>
      <c r="I9" s="15" t="s">
        <v>52</v>
      </c>
    </row>
    <row r="12" customFormat="false" ht="19.5" hidden="false" customHeight="true" outlineLevel="0" collapsed="false">
      <c r="B12" s="11" t="s">
        <v>53</v>
      </c>
      <c r="C12" s="11"/>
      <c r="D12" s="11"/>
      <c r="E12" s="11"/>
      <c r="F12" s="11"/>
      <c r="G12" s="11"/>
      <c r="H12" s="11"/>
      <c r="I12" s="11"/>
    </row>
    <row r="13" customFormat="false" ht="27.75" hidden="false" customHeight="true" outlineLevel="0" collapsed="false">
      <c r="B13" s="11" t="s">
        <v>54</v>
      </c>
      <c r="C13" s="11" t="s">
        <v>55</v>
      </c>
      <c r="D13" s="11" t="s">
        <v>56</v>
      </c>
    </row>
    <row r="14" customFormat="false" ht="18" hidden="false" customHeight="true" outlineLevel="0" collapsed="false">
      <c r="B14" s="20" t="s">
        <v>57</v>
      </c>
      <c r="C14" s="21" t="s">
        <v>58</v>
      </c>
      <c r="D14" s="20" t="s">
        <v>59</v>
      </c>
    </row>
    <row r="15" customFormat="false" ht="18" hidden="false" customHeight="true" outlineLevel="0" collapsed="false">
      <c r="B15" s="20" t="s">
        <v>60</v>
      </c>
      <c r="C15" s="21" t="s">
        <v>61</v>
      </c>
      <c r="D15" s="20" t="s">
        <v>62</v>
      </c>
    </row>
    <row r="16" customFormat="false" ht="18" hidden="false" customHeight="true" outlineLevel="0" collapsed="false">
      <c r="B16" s="20" t="s">
        <v>63</v>
      </c>
      <c r="C16" s="21" t="s">
        <v>64</v>
      </c>
      <c r="D16" s="20" t="s">
        <v>65</v>
      </c>
    </row>
    <row r="17" customFormat="false" ht="18" hidden="false" customHeight="true" outlineLevel="0" collapsed="false">
      <c r="B17" s="20" t="s">
        <v>66</v>
      </c>
      <c r="C17" s="21" t="s">
        <v>67</v>
      </c>
      <c r="D17" s="20" t="s">
        <v>68</v>
      </c>
    </row>
    <row r="18" customFormat="false" ht="18" hidden="false" customHeight="true" outlineLevel="0" collapsed="false">
      <c r="B18" s="20" t="s">
        <v>69</v>
      </c>
      <c r="C18" s="21" t="s">
        <v>70</v>
      </c>
      <c r="D18" s="20" t="s">
        <v>71</v>
      </c>
    </row>
    <row r="19" customFormat="false" ht="18" hidden="false" customHeight="true" outlineLevel="0" collapsed="false">
      <c r="B19" s="20" t="s">
        <v>72</v>
      </c>
      <c r="C19" s="21" t="s">
        <v>73</v>
      </c>
      <c r="D19" s="20" t="s">
        <v>74</v>
      </c>
    </row>
    <row r="20" customFormat="false" ht="18" hidden="false" customHeight="true" outlineLevel="0" collapsed="false">
      <c r="B20" s="20" t="s">
        <v>75</v>
      </c>
      <c r="C20" s="21" t="s">
        <v>76</v>
      </c>
      <c r="D20" s="20" t="s">
        <v>77</v>
      </c>
    </row>
  </sheetData>
  <mergeCells count="2">
    <mergeCell ref="B2:I2"/>
    <mergeCell ref="B3:I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4"/>
    <col collapsed="false" customWidth="true" hidden="false" outlineLevel="0" max="6" min="3" style="0" width="12"/>
    <col collapsed="false" customWidth="true" hidden="false" outlineLevel="0" max="7" min="7" style="0" width="20"/>
  </cols>
  <sheetData>
    <row r="2" customFormat="false" ht="27.75" hidden="false" customHeight="true" outlineLevel="0" collapsed="false">
      <c r="B2" s="9" t="s">
        <v>78</v>
      </c>
      <c r="C2" s="9"/>
      <c r="D2" s="9"/>
      <c r="E2" s="9"/>
      <c r="F2" s="9"/>
      <c r="G2" s="9"/>
    </row>
    <row r="3" customFormat="false" ht="15.75" hidden="false" customHeight="true" outlineLevel="0" collapsed="false">
      <c r="B3" s="10" t="s">
        <v>79</v>
      </c>
      <c r="C3" s="10"/>
      <c r="D3" s="10"/>
      <c r="E3" s="10"/>
      <c r="F3" s="10"/>
      <c r="G3" s="10"/>
    </row>
    <row r="5" customFormat="false" ht="19.5" hidden="false" customHeight="true" outlineLevel="0" collapsed="false">
      <c r="B5" s="11"/>
      <c r="C5" s="11"/>
      <c r="D5" s="11"/>
      <c r="E5" s="11"/>
      <c r="F5" s="11"/>
      <c r="G5" s="11"/>
    </row>
    <row r="6" customFormat="false" ht="27.75" hidden="false" customHeight="true" outlineLevel="0" collapsed="false">
      <c r="B6" s="11" t="s">
        <v>30</v>
      </c>
      <c r="C6" s="11" t="s">
        <v>80</v>
      </c>
      <c r="D6" s="11" t="s">
        <v>81</v>
      </c>
      <c r="E6" s="11" t="s">
        <v>82</v>
      </c>
      <c r="F6" s="11" t="s">
        <v>83</v>
      </c>
      <c r="G6" s="11" t="s">
        <v>84</v>
      </c>
    </row>
    <row r="7" customFormat="false" ht="18" hidden="false" customHeight="true" outlineLevel="0" collapsed="false">
      <c r="B7" s="12" t="s">
        <v>38</v>
      </c>
      <c r="C7" s="22" t="n">
        <v>0.058</v>
      </c>
      <c r="D7" s="22" t="n">
        <v>0.065</v>
      </c>
      <c r="E7" s="22" t="n">
        <v>0.076</v>
      </c>
      <c r="F7" s="22" t="n">
        <v>0.089</v>
      </c>
      <c r="G7" s="23" t="n">
        <f aca="false">F7-0.056</f>
        <v>0.033</v>
      </c>
    </row>
    <row r="8" customFormat="false" ht="18" hidden="false" customHeight="true" outlineLevel="0" collapsed="false">
      <c r="B8" s="16" t="s">
        <v>43</v>
      </c>
      <c r="C8" s="24" t="n">
        <v>0.052</v>
      </c>
      <c r="D8" s="24" t="n">
        <v>0.054</v>
      </c>
      <c r="E8" s="24" t="n">
        <v>0.057</v>
      </c>
      <c r="F8" s="24" t="n">
        <v>0.061</v>
      </c>
      <c r="G8" s="23" t="n">
        <f aca="false">F8-0.056</f>
        <v>0.005</v>
      </c>
    </row>
    <row r="9" customFormat="false" ht="18" hidden="false" customHeight="true" outlineLevel="0" collapsed="false">
      <c r="B9" s="18" t="s">
        <v>48</v>
      </c>
      <c r="C9" s="25" t="n">
        <v>0.061</v>
      </c>
      <c r="D9" s="25" t="n">
        <v>0.058</v>
      </c>
      <c r="E9" s="25" t="n">
        <v>0.054</v>
      </c>
      <c r="F9" s="25" t="n">
        <v>0.051</v>
      </c>
      <c r="G9" s="26" t="n">
        <f aca="false">F9-0.056</f>
        <v>-0.005</v>
      </c>
    </row>
    <row r="10" customFormat="false" ht="18" hidden="false" customHeight="true" outlineLevel="0" collapsed="false">
      <c r="B10" s="20" t="s">
        <v>85</v>
      </c>
      <c r="C10" s="27" t="n">
        <v>0.056</v>
      </c>
      <c r="D10" s="27" t="n">
        <v>0.056</v>
      </c>
      <c r="E10" s="27" t="n">
        <v>0.056</v>
      </c>
      <c r="F10" s="27" t="n">
        <v>0.056</v>
      </c>
    </row>
  </sheetData>
  <mergeCells count="2">
    <mergeCell ref="B2:G2"/>
    <mergeCell ref="B3:G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3" min="2" style="0" width="16"/>
    <col collapsed="false" customWidth="true" hidden="false" outlineLevel="0" max="4" min="4" style="0" width="18"/>
    <col collapsed="false" customWidth="true" hidden="false" outlineLevel="0" max="8" min="5" style="0" width="14"/>
  </cols>
  <sheetData>
    <row r="2" customFormat="false" ht="27.75" hidden="false" customHeight="true" outlineLevel="0" collapsed="false">
      <c r="B2" s="9" t="s">
        <v>86</v>
      </c>
      <c r="C2" s="9"/>
      <c r="D2" s="9"/>
      <c r="E2" s="9"/>
      <c r="F2" s="9"/>
      <c r="G2" s="9"/>
      <c r="H2" s="9"/>
    </row>
    <row r="3" customFormat="false" ht="15.75" hidden="false" customHeight="true" outlineLevel="0" collapsed="false">
      <c r="B3" s="10" t="s">
        <v>87</v>
      </c>
      <c r="C3" s="10"/>
      <c r="D3" s="10"/>
      <c r="E3" s="10"/>
      <c r="F3" s="10"/>
      <c r="G3" s="10"/>
      <c r="H3" s="10"/>
    </row>
    <row r="5" customFormat="false" ht="19.5" hidden="false" customHeight="true" outlineLevel="0" collapsed="false">
      <c r="B5" s="11"/>
      <c r="C5" s="11"/>
      <c r="D5" s="11"/>
      <c r="E5" s="11"/>
      <c r="F5" s="11"/>
      <c r="G5" s="11"/>
      <c r="H5" s="11"/>
    </row>
    <row r="6" customFormat="false" ht="36" hidden="false" customHeight="true" outlineLevel="0" collapsed="false">
      <c r="B6" s="11" t="s">
        <v>30</v>
      </c>
      <c r="C6" s="11" t="s">
        <v>88</v>
      </c>
      <c r="D6" s="11" t="s">
        <v>89</v>
      </c>
      <c r="E6" s="11" t="s">
        <v>90</v>
      </c>
      <c r="F6" s="11" t="s">
        <v>91</v>
      </c>
      <c r="G6" s="11" t="s">
        <v>92</v>
      </c>
      <c r="H6" s="11" t="s">
        <v>93</v>
      </c>
    </row>
    <row r="7" customFormat="false" ht="19.5" hidden="false" customHeight="true" outlineLevel="0" collapsed="false">
      <c r="B7" s="12" t="s">
        <v>38</v>
      </c>
      <c r="C7" s="28" t="n">
        <v>16.2</v>
      </c>
      <c r="D7" s="28" t="n">
        <v>7.8</v>
      </c>
      <c r="E7" s="28" t="n">
        <v>4.1</v>
      </c>
      <c r="F7" s="28" t="n">
        <v>2.5</v>
      </c>
      <c r="G7" s="29" t="n">
        <v>30.6</v>
      </c>
      <c r="H7" s="30" t="n">
        <v>17.8</v>
      </c>
    </row>
    <row r="8" customFormat="false" ht="19.5" hidden="false" customHeight="true" outlineLevel="0" collapsed="false">
      <c r="B8" s="16" t="s">
        <v>43</v>
      </c>
      <c r="C8" s="28" t="n">
        <v>5.8</v>
      </c>
      <c r="D8" s="28" t="n">
        <v>2.6</v>
      </c>
      <c r="E8" s="28" t="n">
        <v>2.2</v>
      </c>
      <c r="F8" s="28" t="n">
        <v>1.8</v>
      </c>
      <c r="G8" s="31" t="n">
        <v>12.4</v>
      </c>
      <c r="H8" s="32" t="n">
        <v>-0.399999999999999</v>
      </c>
    </row>
    <row r="9" customFormat="false" ht="19.5" hidden="false" customHeight="true" outlineLevel="0" collapsed="false">
      <c r="B9" s="18" t="s">
        <v>48</v>
      </c>
      <c r="C9" s="28" t="n">
        <v>3.4</v>
      </c>
      <c r="D9" s="28" t="n">
        <v>1.8</v>
      </c>
      <c r="E9" s="28" t="n">
        <v>2</v>
      </c>
      <c r="F9" s="28" t="n">
        <v>1.9</v>
      </c>
      <c r="G9" s="31" t="n">
        <v>9.1</v>
      </c>
      <c r="H9" s="32" t="n">
        <v>-3.7</v>
      </c>
    </row>
    <row r="10" customFormat="false" ht="18" hidden="false" customHeight="true" outlineLevel="0" collapsed="false">
      <c r="B10" s="11" t="s">
        <v>85</v>
      </c>
      <c r="C10" s="11"/>
      <c r="D10" s="11"/>
      <c r="E10" s="11"/>
      <c r="F10" s="11"/>
      <c r="G10" s="11" t="s">
        <v>61</v>
      </c>
      <c r="H10" s="11"/>
    </row>
  </sheetData>
  <mergeCells count="2">
    <mergeCell ref="B2:H2"/>
    <mergeCell ref="B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8"/>
    <col collapsed="false" customWidth="true" hidden="false" outlineLevel="0" max="5" min="3" style="0" width="14"/>
    <col collapsed="false" customWidth="true" hidden="false" outlineLevel="0" max="8" min="6" style="0" width="16"/>
  </cols>
  <sheetData>
    <row r="2" customFormat="false" ht="27.75" hidden="false" customHeight="true" outlineLevel="0" collapsed="false">
      <c r="B2" s="9" t="s">
        <v>94</v>
      </c>
      <c r="C2" s="9"/>
      <c r="D2" s="9"/>
      <c r="E2" s="9"/>
      <c r="F2" s="9"/>
      <c r="G2" s="9"/>
      <c r="H2" s="9"/>
    </row>
    <row r="3" customFormat="false" ht="15.75" hidden="false" customHeight="true" outlineLevel="0" collapsed="false">
      <c r="B3" s="10" t="s">
        <v>95</v>
      </c>
      <c r="C3" s="10"/>
      <c r="D3" s="10"/>
      <c r="E3" s="10"/>
      <c r="F3" s="10"/>
      <c r="G3" s="10"/>
      <c r="H3" s="10"/>
    </row>
    <row r="5" customFormat="false" ht="19.5" hidden="false" customHeight="true" outlineLevel="0" collapsed="false">
      <c r="B5" s="11"/>
      <c r="C5" s="11"/>
      <c r="D5" s="11"/>
      <c r="E5" s="11"/>
      <c r="F5" s="11"/>
      <c r="G5" s="11"/>
      <c r="H5" s="11"/>
    </row>
    <row r="6" customFormat="false" ht="36" hidden="false" customHeight="true" outlineLevel="0" collapsed="false">
      <c r="B6" s="11" t="s">
        <v>30</v>
      </c>
      <c r="C6" s="11" t="s">
        <v>96</v>
      </c>
      <c r="D6" s="11" t="s">
        <v>97</v>
      </c>
      <c r="E6" s="11" t="s">
        <v>98</v>
      </c>
      <c r="F6" s="11" t="s">
        <v>99</v>
      </c>
      <c r="G6" s="11" t="s">
        <v>100</v>
      </c>
      <c r="H6" s="11" t="s">
        <v>101</v>
      </c>
      <c r="I6" s="11" t="s">
        <v>102</v>
      </c>
    </row>
    <row r="7" customFormat="false" ht="19.5" hidden="false" customHeight="true" outlineLevel="0" collapsed="false">
      <c r="B7" s="12" t="s">
        <v>38</v>
      </c>
      <c r="C7" s="14" t="n">
        <v>1.85</v>
      </c>
      <c r="D7" s="33" t="n">
        <v>0.089</v>
      </c>
      <c r="E7" s="34" t="n">
        <v>0.056</v>
      </c>
      <c r="F7" s="35" t="n">
        <v>164.65</v>
      </c>
      <c r="G7" s="35" t="n">
        <v>103.6</v>
      </c>
      <c r="H7" s="35" t="n">
        <v>61.05</v>
      </c>
      <c r="I7" s="36" t="n">
        <v>5.18925</v>
      </c>
    </row>
    <row r="8" customFormat="false" ht="19.5" hidden="false" customHeight="true" outlineLevel="0" collapsed="false">
      <c r="B8" s="16" t="s">
        <v>43</v>
      </c>
      <c r="C8" s="14" t="n">
        <v>1.52</v>
      </c>
      <c r="D8" s="33" t="n">
        <v>0.061</v>
      </c>
      <c r="E8" s="34" t="n">
        <v>0.056</v>
      </c>
      <c r="F8" s="35" t="n">
        <v>92.72</v>
      </c>
      <c r="G8" s="35" t="n">
        <v>85.12</v>
      </c>
      <c r="H8" s="35" t="n">
        <v>7.59999999999999</v>
      </c>
      <c r="I8" s="36" t="n">
        <v>0.646</v>
      </c>
    </row>
    <row r="9" customFormat="false" ht="19.5" hidden="false" customHeight="true" outlineLevel="0" collapsed="false">
      <c r="B9" s="18" t="s">
        <v>48</v>
      </c>
      <c r="C9" s="14" t="n">
        <v>0.83</v>
      </c>
      <c r="D9" s="33" t="n">
        <v>0.051</v>
      </c>
      <c r="E9" s="34" t="n">
        <v>0.056</v>
      </c>
      <c r="F9" s="35" t="n">
        <v>42.33</v>
      </c>
      <c r="G9" s="35" t="n">
        <v>46.48</v>
      </c>
      <c r="H9" s="35" t="n">
        <v>0</v>
      </c>
      <c r="I9" s="37" t="n">
        <v>0</v>
      </c>
    </row>
    <row r="10" customFormat="false" ht="19.5" hidden="false" customHeight="true" outlineLevel="0" collapsed="false">
      <c r="B10" s="11" t="s">
        <v>103</v>
      </c>
      <c r="C10" s="11"/>
      <c r="D10" s="38" t="n">
        <f aca="false">SUM(C7:C9)</f>
        <v>4.2</v>
      </c>
      <c r="E10" s="11"/>
      <c r="F10" s="11"/>
      <c r="G10" s="11"/>
      <c r="H10" s="11"/>
      <c r="I10" s="39" t="n">
        <f aca="false">SUM(I7:I9)</f>
        <v>5.83525</v>
      </c>
    </row>
  </sheetData>
  <mergeCells count="2">
    <mergeCell ref="B2:H2"/>
    <mergeCell ref="B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5" min="3" style="0" width="20"/>
    <col collapsed="false" customWidth="true" hidden="false" outlineLevel="0" max="6" min="6" style="0" width="2"/>
  </cols>
  <sheetData>
    <row r="2" customFormat="false" ht="36" hidden="false" customHeight="true" outlineLevel="0" collapsed="false">
      <c r="B2" s="40" t="s">
        <v>104</v>
      </c>
      <c r="C2" s="40"/>
      <c r="D2" s="40"/>
      <c r="E2" s="40"/>
    </row>
    <row r="3" customFormat="false" ht="15.75" hidden="false" customHeight="true" outlineLevel="0" collapsed="false">
      <c r="B3" s="41" t="s">
        <v>105</v>
      </c>
      <c r="C3" s="41"/>
      <c r="D3" s="41"/>
      <c r="E3" s="41"/>
    </row>
    <row r="5" customFormat="false" ht="13.5" hidden="false" customHeight="true" outlineLevel="0" collapsed="false">
      <c r="B5" s="11" t="s">
        <v>106</v>
      </c>
      <c r="C5" s="11"/>
      <c r="D5" s="11"/>
      <c r="E5" s="11"/>
    </row>
    <row r="6" customFormat="false" ht="13.5" hidden="false" customHeight="true" outlineLevel="0" collapsed="false"/>
    <row r="7" customFormat="false" ht="27.75" hidden="false" customHeight="true" outlineLevel="0" collapsed="false">
      <c r="B7" s="42" t="s">
        <v>107</v>
      </c>
      <c r="C7" s="42" t="s">
        <v>108</v>
      </c>
      <c r="D7" s="42" t="s">
        <v>109</v>
      </c>
      <c r="E7" s="42" t="s">
        <v>110</v>
      </c>
    </row>
    <row r="8" customFormat="false" ht="15.75" hidden="false" customHeight="true" outlineLevel="0" collapsed="false">
      <c r="B8" s="43" t="s">
        <v>111</v>
      </c>
      <c r="C8" s="43" t="s">
        <v>112</v>
      </c>
      <c r="D8" s="43" t="s">
        <v>113</v>
      </c>
      <c r="E8" s="43" t="s">
        <v>114</v>
      </c>
    </row>
    <row r="9" customFormat="false" ht="13.5" hidden="false" customHeight="true" outlineLevel="0" collapsed="false">
      <c r="B9" s="44" t="s">
        <v>115</v>
      </c>
      <c r="C9" s="44" t="s">
        <v>116</v>
      </c>
      <c r="D9" s="44" t="s">
        <v>117</v>
      </c>
      <c r="E9" s="44" t="s">
        <v>118</v>
      </c>
    </row>
    <row r="11" customFormat="false" ht="13.5" hidden="false" customHeight="true" outlineLevel="0" collapsed="false">
      <c r="B11" s="11" t="s">
        <v>119</v>
      </c>
      <c r="C11" s="11"/>
      <c r="D11" s="11"/>
      <c r="E11" s="11"/>
    </row>
    <row r="12" customFormat="false" ht="27.75" hidden="false" customHeight="true" outlineLevel="0" collapsed="false">
      <c r="B12" s="45" t="s">
        <v>120</v>
      </c>
      <c r="C12" s="46" t="s">
        <v>121</v>
      </c>
      <c r="D12" s="46"/>
      <c r="E12" s="46"/>
    </row>
    <row r="13" customFormat="false" ht="27.75" hidden="false" customHeight="true" outlineLevel="0" collapsed="false">
      <c r="B13" s="47" t="s">
        <v>122</v>
      </c>
      <c r="C13" s="48" t="s">
        <v>123</v>
      </c>
      <c r="D13" s="48"/>
      <c r="E13" s="48"/>
    </row>
    <row r="14" customFormat="false" ht="27.75" hidden="false" customHeight="true" outlineLevel="0" collapsed="false">
      <c r="B14" s="45" t="s">
        <v>124</v>
      </c>
      <c r="C14" s="46" t="s">
        <v>125</v>
      </c>
      <c r="D14" s="46"/>
      <c r="E14" s="46"/>
    </row>
    <row r="15" customFormat="false" ht="27.75" hidden="false" customHeight="true" outlineLevel="0" collapsed="false">
      <c r="B15" s="49" t="s">
        <v>126</v>
      </c>
      <c r="C15" s="50" t="s">
        <v>127</v>
      </c>
      <c r="D15" s="50"/>
      <c r="E15" s="50"/>
    </row>
    <row r="17" customFormat="false" ht="13.5" hidden="false" customHeight="true" outlineLevel="0" collapsed="false">
      <c r="B17" s="11" t="s">
        <v>128</v>
      </c>
      <c r="C17" s="11"/>
      <c r="D17" s="11"/>
      <c r="E17" s="11"/>
    </row>
    <row r="18" customFormat="false" ht="21.75" hidden="false" customHeight="true" outlineLevel="0" collapsed="false">
      <c r="B18" s="45" t="s">
        <v>129</v>
      </c>
      <c r="C18" s="46" t="s">
        <v>130</v>
      </c>
      <c r="D18" s="46"/>
      <c r="E18" s="46"/>
    </row>
    <row r="19" customFormat="false" ht="21.75" hidden="false" customHeight="true" outlineLevel="0" collapsed="false">
      <c r="B19" s="49" t="s">
        <v>131</v>
      </c>
      <c r="C19" s="50" t="s">
        <v>132</v>
      </c>
      <c r="D19" s="50"/>
      <c r="E19" s="50"/>
    </row>
    <row r="20" customFormat="false" ht="21.75" hidden="false" customHeight="true" outlineLevel="0" collapsed="false">
      <c r="B20" s="51" t="s">
        <v>133</v>
      </c>
      <c r="C20" s="52" t="s">
        <v>134</v>
      </c>
      <c r="D20" s="52"/>
      <c r="E20" s="52"/>
    </row>
    <row r="21" customFormat="false" ht="21.75" hidden="false" customHeight="true" outlineLevel="0" collapsed="false">
      <c r="B21" s="47" t="s">
        <v>135</v>
      </c>
      <c r="C21" s="48" t="s">
        <v>136</v>
      </c>
      <c r="D21" s="48"/>
      <c r="E21" s="48"/>
    </row>
  </sheetData>
  <mergeCells count="10">
    <mergeCell ref="B2:E2"/>
    <mergeCell ref="B3:E3"/>
    <mergeCell ref="C12:E12"/>
    <mergeCell ref="C13:E13"/>
    <mergeCell ref="C14:E14"/>
    <mergeCell ref="C15:E15"/>
    <mergeCell ref="C18:E18"/>
    <mergeCell ref="C19:E19"/>
    <mergeCell ref="C20:E20"/>
    <mergeCell ref="C21:E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2026-04-24T19:22:38Z</dcterms:created>
  <dc:creator>openpyxl</dc:creator>
  <dc:description/>
  <dc:language>en-US</dc:language>
  <cp:lastModifiedBy/>
  <dcterms:modified xsi:type="dcterms:W3CDTF">2026-04-24T19:23:46Z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