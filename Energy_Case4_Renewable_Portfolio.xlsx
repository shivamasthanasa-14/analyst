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Portfolio Data" sheetId="2" state="visible" r:id="rId4"/>
    <sheet name="2. CF Analysis" sheetId="3" state="visible" r:id="rId5"/>
    <sheet name="3. Downtime Analysis" sheetId="4" state="visible" r:id="rId6"/>
    <sheet name="4. Revenue Model" sheetId="5" state="visible" r:id="rId7"/>
    <sheet name="5.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<sst xmlns="http://schemas.openxmlformats.org/spreadsheetml/2006/main" count="252" uniqueCount="125">
  <si>
    <t xml:space="preserve">12 Assets, No Visibility</t>
  </si>
  <si>
    <t xml:space="preserve">Renewable Portfolio Performance Analysis</t>
  </si>
  <si>
    <t xml:space="preserve">Sector</t>
  </si>
  <si>
    <t xml:space="preserve">Energy &amp; Utilities</t>
  </si>
  <si>
    <t xml:space="preserve">Portfolio</t>
  </si>
  <si>
    <t xml:space="preserve">730 MW · 12 Assets</t>
  </si>
  <si>
    <t xml:space="preserve">Markets</t>
  </si>
  <si>
    <t xml:space="preserve">Germany · Netherlands · Denmark</t>
  </si>
  <si>
    <t xml:space="preserve">Revenue at Stake</t>
  </si>
  <si>
    <t xml:space="preserve">€155.8M target</t>
  </si>
  <si>
    <t xml:space="preserve">Gap Identified</t>
  </si>
  <si>
    <t xml:space="preserve">€4.49M shortfall</t>
  </si>
  <si>
    <t xml:space="preserve">Data Sources</t>
  </si>
  <si>
    <t xml:space="preserve">ENTSO-E · Bruegel · WindEurope · Ember · Copernicus</t>
  </si>
  <si>
    <t xml:space="preserve">Contents</t>
  </si>
  <si>
    <t xml:space="preserve">1. Portfolio Data</t>
  </si>
  <si>
    <t xml:space="preserve">Raw asset data, benchmarks, and assumptions</t>
  </si>
  <si>
    <t xml:space="preserve">2. CF Analysis</t>
  </si>
  <si>
    <t xml:space="preserve">Capacity factor actual vs benchmark by asset</t>
  </si>
  <si>
    <t xml:space="preserve">3. Downtime Analysis</t>
  </si>
  <si>
    <t xml:space="preserve">Downtime breakdown by category</t>
  </si>
  <si>
    <t xml:space="preserve">4. Revenue Model</t>
  </si>
  <si>
    <t xml:space="preserve">Revenue gap and financial impact</t>
  </si>
  <si>
    <t xml:space="preserve">5. Dashboard</t>
  </si>
  <si>
    <t xml:space="preserve">Summary KPIs and all charts in one view</t>
  </si>
  <si>
    <t xml:space="preserve">Portfolio Asset Data &amp; Benchmarks</t>
  </si>
  <si>
    <t xml:space="preserve">Benchmark CFs: Bruegel EU Renewables Value Tracker (ENTSO-E source) · WindEurope 2023 · Copernicus ESOTC 2023</t>
  </si>
  <si>
    <t xml:space="preserve">A — ASSET PORTFOLIO</t>
  </si>
  <si>
    <t xml:space="preserve">Asset Name</t>
  </si>
  <si>
    <t xml:space="preserve">Country</t>
  </si>
  <si>
    <t xml:space="preserve">Technology</t>
  </si>
  <si>
    <t xml:space="preserve">Capacity (MW)</t>
  </si>
  <si>
    <t xml:space="preserve">Commissioned</t>
  </si>
  <si>
    <t xml:space="preserve">Benchmark CF</t>
  </si>
  <si>
    <t xml:space="preserve">Actual CF</t>
  </si>
  <si>
    <t xml:space="preserve">CF Gap (pp)</t>
  </si>
  <si>
    <t xml:space="preserve">Nordwind I</t>
  </si>
  <si>
    <t xml:space="preserve">Germany</t>
  </si>
  <si>
    <t xml:space="preserve">Onshore Wind</t>
  </si>
  <si>
    <t xml:space="preserve">Nordwind II</t>
  </si>
  <si>
    <t xml:space="preserve">Elbewind</t>
  </si>
  <si>
    <t xml:space="preserve">Sachsenwind</t>
  </si>
  <si>
    <t xml:space="preserve">Sonnfeld I</t>
  </si>
  <si>
    <t xml:space="preserve">Solar PV</t>
  </si>
  <si>
    <t xml:space="preserve">Sonnfeld II</t>
  </si>
  <si>
    <t xml:space="preserve">Kustwind</t>
  </si>
  <si>
    <t xml:space="preserve">Netherlands</t>
  </si>
  <si>
    <t xml:space="preserve">Nordsee Alpha</t>
  </si>
  <si>
    <t xml:space="preserve">Offshore Wind</t>
  </si>
  <si>
    <t xml:space="preserve">Randstad Solar</t>
  </si>
  <si>
    <t xml:space="preserve">Vesterhav</t>
  </si>
  <si>
    <t xml:space="preserve">Denmark</t>
  </si>
  <si>
    <t xml:space="preserve">Jutland Wind</t>
  </si>
  <si>
    <t xml:space="preserve">Anholt East</t>
  </si>
  <si>
    <t xml:space="preserve">TOTAL / AVERAGE</t>
  </si>
  <si>
    <t xml:space="preserve">B — REVENUE MODEL ASSUMPTIONS</t>
  </si>
  <si>
    <t xml:space="preserve">Market</t>
  </si>
  <si>
    <t xml:space="preserve">Wholesale Price (€/MWh)</t>
  </si>
  <si>
    <t xml:space="preserve">Source</t>
  </si>
  <si>
    <t xml:space="preserve">ENTSO-E Statistical Factsheet 2023 · Ember European Electricity Review 2024</t>
  </si>
  <si>
    <t xml:space="preserve">Capture Rate</t>
  </si>
  <si>
    <t xml:space="preserve">Rationale</t>
  </si>
  <si>
    <t xml:space="preserve">Bruegel EU Renewables Value Tracker — moderate price cannibalisation</t>
  </si>
  <si>
    <t xml:space="preserve">Bruegel EU Renewables Value Tracker — generation spread reduces cannibalisation</t>
  </si>
  <si>
    <t xml:space="preserve">Bruegel EU Renewables Value Tracker — midday concentration drives price cannibalisation</t>
  </si>
  <si>
    <t xml:space="preserve">Capacity Factor Analysis — Actual vs Benchmark</t>
  </si>
  <si>
    <t xml:space="preserve">Capacity Factor = Actual Generation ÷ (Installed Capacity × 8,760 hours). Benchmarks sourced from Bruegel/ENTSO-E by country and technology — not a portfolio average.</t>
  </si>
  <si>
    <t xml:space="preserve">Asset</t>
  </si>
  <si>
    <t xml:space="preserve">Gap (pp)</t>
  </si>
  <si>
    <t xml:space="preserve">Flag</t>
  </si>
  <si>
    <t xml:space="preserve">⚠ Below threshold</t>
  </si>
  <si>
    <t xml:space="preserve">— Monitor</t>
  </si>
  <si>
    <t xml:space="preserve">✓ On track</t>
  </si>
  <si>
    <t xml:space="preserve">Downtime Analysis — Separating Controllable from Uncontrollable Losses</t>
  </si>
  <si>
    <t xml:space="preserve">WindEurope O&amp;M benchmark for onshore wind unplanned downtime: ~263 hours/year. Assets above this threshold are flagged for O&amp;M review.</t>
  </si>
  <si>
    <t xml:space="preserve">Planned Maint. (h)</t>
  </si>
  <si>
    <t xml:space="preserve">Unplanned Mech. (h)</t>
  </si>
  <si>
    <t xml:space="preserve">Grid Curtailment (h)</t>
  </si>
  <si>
    <t xml:space="preserve">Weather (h)</t>
  </si>
  <si>
    <t xml:space="preserve">Total (h)</t>
  </si>
  <si>
    <t xml:space="preserve">O&amp;M Flag</t>
  </si>
  <si>
    <t xml:space="preserve">⚠ Review O&amp;M</t>
  </si>
  <si>
    <t xml:space="preserve">✓ Normal</t>
  </si>
  <si>
    <t xml:space="preserve">PORTFOLIO TOTAL</t>
  </si>
  <si>
    <t xml:space="preserve">Revenue Model — Financial Impact of Performance Gaps</t>
  </si>
  <si>
    <t xml:space="preserve">Revenue = Generation (MWh) × Capture Price (€/MWh). Capture price = Wholesale price × Technology capture rate. Source: ENTSO-E, Ember, Bruegel.</t>
  </si>
  <si>
    <t xml:space="preserve">Capture Price (€/MWh)</t>
  </si>
  <si>
    <t xml:space="preserve">Target Gen (MWh)</t>
  </si>
  <si>
    <t xml:space="preserve">Actual Gen (MWh)</t>
  </si>
  <si>
    <t xml:space="preserve">Target Revenue (€)</t>
  </si>
  <si>
    <t xml:space="preserve">Actual Revenue (€)</t>
  </si>
  <si>
    <t xml:space="preserve">Revenue Gap (€)</t>
  </si>
  <si>
    <t xml:space="preserve">12 Assets, No Visibility — Performance Dashboard</t>
  </si>
  <si>
    <t xml:space="preserve">Summary KPIs and findings  |  Energy &amp; Utilities Case Study  |  Shivam Asthana</t>
  </si>
  <si>
    <t xml:space="preserve">KEY METRICS</t>
  </si>
  <si>
    <t xml:space="preserve">Total Capacity</t>
  </si>
  <si>
    <t xml:space="preserve">Revenue Target</t>
  </si>
  <si>
    <t xml:space="preserve">Revenue Gap</t>
  </si>
  <si>
    <t xml:space="preserve">Largest Gap Asset</t>
  </si>
  <si>
    <t xml:space="preserve">730 MW</t>
  </si>
  <si>
    <t xml:space="preserve">€155.8M</t>
  </si>
  <si>
    <t xml:space="preserve">€4.49M</t>
  </si>
  <si>
    <t xml:space="preserve">Nordsee α</t>
  </si>
  <si>
    <t xml:space="preserve">Across 3 countries, 3 technologies</t>
  </si>
  <si>
    <t xml:space="preserve">At benchmark capacity factors</t>
  </si>
  <si>
    <t xml:space="preserve">Shortfall vs benchmark — 2.9% of target</t>
  </si>
  <si>
    <t xml:space="preserve">€3.62M — grid curtailment driven</t>
  </si>
  <si>
    <t xml:space="preserve">KEY FINDINGS</t>
  </si>
  <si>
    <t xml:space="preserve">⚠ Elbewind (DE)</t>
  </si>
  <si>
    <t xml:space="preserve">480h unplanned mechanical downtime — nearly double the WindEurope benchmark of 263h. O&amp;M contract review required.</t>
  </si>
  <si>
    <t xml:space="preserve">⚠ Nordwind I (DE)</t>
  </si>
  <si>
    <t xml:space="preserve">320h unplanned mechanical downtime. Same 2015-2016 vintage as Elbewind. Two assets, same era, same pattern.</t>
  </si>
  <si>
    <t xml:space="preserve">⚡ Nordsee Alpha (NL)</t>
  </si>
  <si>
    <t xml:space="preserve">420h grid curtailment in Year 1 of operation. €3.62M revenue impact. TSO engagement required — not an O&amp;M problem.</t>
  </si>
  <si>
    <t xml:space="preserve">✓ Anholt East (DK)</t>
  </si>
  <si>
    <t xml:space="preserve">42.0% actual CF vs 40.0% benchmark. Best performer in portfolio. +€1.1M above target.</t>
  </si>
  <si>
    <t xml:space="preserve">RECOMMENDED ACTIONS</t>
  </si>
  <si>
    <t xml:space="preserve">1 · Immediate</t>
  </si>
  <si>
    <t xml:space="preserve">Escalate Nordsee Alpha curtailment with TSO — €3.62M at stake</t>
  </si>
  <si>
    <t xml:space="preserve">2 · Short Term</t>
  </si>
  <si>
    <t xml:space="preserve">Formal O&amp;M audit for Elbewind and Nordwind I — aging asset review</t>
  </si>
  <si>
    <t xml:space="preserve">3 · Medium Term</t>
  </si>
  <si>
    <t xml:space="preserve">Standardise KPI definitions across all 3 country teams</t>
  </si>
  <si>
    <t xml:space="preserve">4 · Ongoing</t>
  </si>
  <si>
    <t xml:space="preserve">Set CF alert thresholds — &gt;3pp gap triggers automatic review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</si>
</sst>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+0.0%;\-0.0%;0.0%"/>
    <numFmt numFmtId="167" formatCode="#,##0"/>
    <numFmt numFmtId="168" formatCode="0%"/>
    <numFmt numFmtId="169" formatCode="\€#,##0"/>
    <numFmt numFmtId="170" formatCode="\€#,##0;&quot;(€&quot;#,##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C3F6E"/>
      <name val="Arial"/>
      <family val="0"/>
      <charset val="1"/>
    </font>
    <font>
      <sz val="14"/>
      <color rgb="FF6B6860"/>
      <name val="Arial"/>
      <family val="0"/>
      <charset val="1"/>
    </font>
    <font>
      <b val="true"/>
      <sz val="9"/>
      <color rgb="FF6B6860"/>
      <name val="Arial"/>
      <family val="0"/>
      <charset val="1"/>
    </font>
    <font>
      <sz val="9"/>
      <color rgb="FF181818"/>
      <name val="Arial"/>
      <family val="0"/>
      <charset val="1"/>
    </font>
    <font>
      <b val="true"/>
      <sz val="11"/>
      <color rgb="FF1C3F6E"/>
      <name val="Arial"/>
      <family val="0"/>
      <charset val="1"/>
    </font>
    <font>
      <b val="true"/>
      <sz val="9"/>
      <color rgb="FF1C3F6E"/>
      <name val="Arial"/>
      <family val="0"/>
      <charset val="1"/>
    </font>
    <font>
      <sz val="9"/>
      <color rgb="FF6B6860"/>
      <name val="Arial"/>
      <family val="0"/>
      <charset val="1"/>
    </font>
    <font>
      <b val="true"/>
      <sz val="13"/>
      <color rgb="FF1C3F6E"/>
      <name val="Arial"/>
      <family val="0"/>
      <charset val="1"/>
    </font>
    <font>
      <i val="true"/>
      <sz val="8"/>
      <color rgb="FF6B68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E7D55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81818"/>
      <name val="Arial"/>
      <family val="0"/>
      <charset val="1"/>
    </font>
    <font>
      <b val="true"/>
      <sz val="9"/>
      <color rgb="FFC07A1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C3F6E"/>
      <name val="Arial"/>
      <family val="0"/>
      <charset val="1"/>
    </font>
    <font>
      <i val="true"/>
      <sz val="9"/>
      <color rgb="FF6B6860"/>
      <name val="Arial"/>
      <family val="0"/>
      <charset val="1"/>
    </font>
    <font>
      <sz val="8"/>
      <color rgb="FF6B6860"/>
      <name val="Arial"/>
      <family val="0"/>
      <charset val="1"/>
    </font>
    <font>
      <b val="true"/>
      <sz val="14"/>
      <color rgb="FFC0392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C3F6E"/>
        <bgColor rgb="FF333399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DF5E6"/>
      </patternFill>
    </fill>
    <fill>
      <patternFill patternType="solid">
        <fgColor rgb="FFFDE8B4"/>
        <bgColor rgb="FFFDECEA"/>
      </patternFill>
    </fill>
    <fill>
      <patternFill patternType="solid">
        <fgColor rgb="FFC8E6D4"/>
        <bgColor rgb="FFD6E4F0"/>
      </patternFill>
    </fill>
    <fill>
      <patternFill patternType="solid">
        <fgColor rgb="FFFDECEA"/>
        <bgColor rgb="FFFDF5E6"/>
      </patternFill>
    </fill>
    <fill>
      <patternFill patternType="solid">
        <fgColor rgb="FFFDF5E6"/>
        <bgColor rgb="FFFDECEA"/>
      </patternFill>
    </fill>
    <fill>
      <patternFill patternType="solid">
        <fgColor rgb="FFEBF5EF"/>
        <bgColor rgb="FFEBF2FA"/>
      </patternFill>
    </fill>
    <fill>
      <patternFill patternType="solid">
        <fgColor rgb="FFEBF2FA"/>
        <bgColor rgb="FFEBF5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  <border diagonalUp="false" diagonalDown="false">
      <left style="thin">
        <color rgb="FFD0CEC6"/>
      </left>
      <right/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CEA"/>
      <rgbColor rgb="FFFF00FF"/>
      <rgbColor rgb="FF00FFFF"/>
      <rgbColor rgb="FF800000"/>
      <rgbColor rgb="FF008000"/>
      <rgbColor rgb="FF000080"/>
      <rgbColor rgb="FFC07A1A"/>
      <rgbColor rgb="FF800080"/>
      <rgbColor rgb="FF008080"/>
      <rgbColor rgb="FFB0BEC5"/>
      <rgbColor rgb="FF878787"/>
      <rgbColor rgb="FF9999FF"/>
      <rgbColor rgb="FF993366"/>
      <rgbColor rgb="FFFDF5E6"/>
      <rgbColor rgb="FFEBF5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A"/>
      <rgbColor rgb="FFC8E6D4"/>
      <rgbColor rgb="FFFDE8B4"/>
      <rgbColor rgb="FF7EB8D4"/>
      <rgbColor rgb="FFD6E4F0"/>
      <rgbColor rgb="FFD9D9D9"/>
      <rgbColor rgb="FFD0CEC6"/>
      <rgbColor rgb="FF3366FF"/>
      <rgbColor rgb="FF33CCCC"/>
      <rgbColor rgb="FF99CC00"/>
      <rgbColor rgb="FFFFCC00"/>
      <rgbColor rgb="FFF5A623"/>
      <rgbColor rgb="FFFF6600"/>
      <rgbColor rgb="FF6B6860"/>
      <rgbColor rgb="FF969696"/>
      <rgbColor rgb="FF1C3F6E"/>
      <rgbColor rgb="FF2E7D55"/>
      <rgbColor rgb="FF181818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 Benchmark Capacity Factor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CF Analysis'!D5</c:f>
              <c:strCache>
                <c:ptCount val="1"/>
                <c:pt idx="0">
                  <c:v>Benchmark CF</c:v>
                </c:pt>
              </c:strCache>
            </c:strRef>
          </c:tx>
          <c:spPr>
            <a:solidFill>
              <a:srgbClr val="1c3f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CF Analysis'!$B$6:$B$17</c:f>
              <c:strCache>
                <c:ptCount val="12"/>
                <c:pt idx="0">
                  <c:v>Elbewind</c:v>
                </c:pt>
                <c:pt idx="1">
                  <c:v>Nordwind I</c:v>
                </c:pt>
                <c:pt idx="2">
                  <c:v>Nordsee Alpha</c:v>
                </c:pt>
                <c:pt idx="3">
                  <c:v>Vesterhav</c:v>
                </c:pt>
                <c:pt idx="4">
                  <c:v>Kustwind</c:v>
                </c:pt>
                <c:pt idx="5">
                  <c:v>Sonnfeld I</c:v>
                </c:pt>
                <c:pt idx="6">
                  <c:v>Nordwind II</c:v>
                </c:pt>
                <c:pt idx="7">
                  <c:v>Sonnfeld II</c:v>
                </c:pt>
                <c:pt idx="8">
                  <c:v>Randstad Solar</c:v>
                </c:pt>
                <c:pt idx="9">
                  <c:v>Jutland Wind</c:v>
                </c:pt>
                <c:pt idx="10">
                  <c:v>Sachsenwind</c:v>
                </c:pt>
                <c:pt idx="11">
                  <c:v>Anholt East</c:v>
                </c:pt>
              </c:strCache>
            </c:strRef>
          </c:cat>
          <c:val>
            <c:numRef>
              <c:f>'2. CF Analysis'!$D$6:$D$17</c:f>
              <c:numCache>
                <c:formatCode>0.0%</c:formatCode>
                <c:ptCount val="12"/>
                <c:pt idx="0">
                  <c:v>0.23</c:v>
                </c:pt>
                <c:pt idx="1">
                  <c:v>0.23</c:v>
                </c:pt>
                <c:pt idx="2">
                  <c:v>0.38</c:v>
                </c:pt>
                <c:pt idx="3">
                  <c:v>0.29</c:v>
                </c:pt>
                <c:pt idx="4">
                  <c:v>0.26</c:v>
                </c:pt>
                <c:pt idx="5">
                  <c:v>0.11</c:v>
                </c:pt>
                <c:pt idx="6">
                  <c:v>0.23</c:v>
                </c:pt>
                <c:pt idx="7">
                  <c:v>0.11</c:v>
                </c:pt>
                <c:pt idx="8">
                  <c:v>0.11</c:v>
                </c:pt>
                <c:pt idx="9">
                  <c:v>0.29</c:v>
                </c:pt>
                <c:pt idx="10">
                  <c:v>0.23</c:v>
                </c:pt>
                <c:pt idx="11">
                  <c:v>0.4</c:v>
                </c:pt>
              </c:numCache>
            </c:numRef>
          </c:val>
        </c:ser>
        <c:ser>
          <c:idx val="1"/>
          <c:order val="1"/>
          <c:tx>
            <c:strRef>
              <c:f>'2. CF Analysis'!E5</c:f>
              <c:strCache>
                <c:ptCount val="1"/>
                <c:pt idx="0">
                  <c:v>Actual CF</c:v>
                </c:pt>
              </c:strCache>
            </c:strRef>
          </c:tx>
          <c:spPr>
            <a:solidFill>
              <a:srgbClr val="cccc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CF Analysis'!$B$6:$B$17</c:f>
              <c:strCache>
                <c:ptCount val="12"/>
                <c:pt idx="0">
                  <c:v>Elbewind</c:v>
                </c:pt>
                <c:pt idx="1">
                  <c:v>Nordwind I</c:v>
                </c:pt>
                <c:pt idx="2">
                  <c:v>Nordsee Alpha</c:v>
                </c:pt>
                <c:pt idx="3">
                  <c:v>Vesterhav</c:v>
                </c:pt>
                <c:pt idx="4">
                  <c:v>Kustwind</c:v>
                </c:pt>
                <c:pt idx="5">
                  <c:v>Sonnfeld I</c:v>
                </c:pt>
                <c:pt idx="6">
                  <c:v>Nordwind II</c:v>
                </c:pt>
                <c:pt idx="7">
                  <c:v>Sonnfeld II</c:v>
                </c:pt>
                <c:pt idx="8">
                  <c:v>Randstad Solar</c:v>
                </c:pt>
                <c:pt idx="9">
                  <c:v>Jutland Wind</c:v>
                </c:pt>
                <c:pt idx="10">
                  <c:v>Sachsenwind</c:v>
                </c:pt>
                <c:pt idx="11">
                  <c:v>Anholt East</c:v>
                </c:pt>
              </c:strCache>
            </c:strRef>
          </c:cat>
          <c:val>
            <c:numRef>
              <c:f>'2. CF Analysis'!$E$6:$E$17</c:f>
              <c:numCache>
                <c:formatCode>0.0%</c:formatCode>
                <c:ptCount val="12"/>
                <c:pt idx="0">
                  <c:v>0.184</c:v>
                </c:pt>
                <c:pt idx="1">
                  <c:v>0.186</c:v>
                </c:pt>
                <c:pt idx="2">
                  <c:v>0.342</c:v>
                </c:pt>
                <c:pt idx="3">
                  <c:v>0.271</c:v>
                </c:pt>
                <c:pt idx="4">
                  <c:v>0.246</c:v>
                </c:pt>
                <c:pt idx="5">
                  <c:v>0.098</c:v>
                </c:pt>
                <c:pt idx="6">
                  <c:v>0.223</c:v>
                </c:pt>
                <c:pt idx="7">
                  <c:v>0.104</c:v>
                </c:pt>
                <c:pt idx="8">
                  <c:v>0.104</c:v>
                </c:pt>
                <c:pt idx="9">
                  <c:v>0.296</c:v>
                </c:pt>
                <c:pt idx="10">
                  <c:v>0.237</c:v>
                </c:pt>
                <c:pt idx="11">
                  <c:v>0.42</c:v>
                </c:pt>
              </c:numCache>
            </c:numRef>
          </c:val>
        </c:ser>
        <c:gapWidth val="150"/>
        <c:overlap val="0"/>
        <c:axId val="26293154"/>
        <c:axId val="35485205"/>
      </c:barChart>
      <c:catAx>
        <c:axId val="26293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85205"/>
        <c:crosses val="autoZero"/>
        <c:auto val="1"/>
        <c:lblAlgn val="ctr"/>
        <c:lblOffset val="100"/>
        <c:noMultiLvlLbl val="0"/>
      </c:catAx>
      <c:valAx>
        <c:axId val="354852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Capacity Factor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93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Downtime by Category (Hours per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'3. Downtime Analysis'!E5</c:f>
              <c:strCache>
                <c:ptCount val="1"/>
                <c:pt idx="0">
                  <c:v>Unplanned Mech. (h)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Downtime Analysis'!$B$6:$B$17</c:f>
              <c:strCache>
                <c:ptCount val="12"/>
                <c:pt idx="0">
                  <c:v>Nordsee Alpha</c:v>
                </c:pt>
                <c:pt idx="1">
                  <c:v>Elbewind</c:v>
                </c:pt>
                <c:pt idx="2">
                  <c:v>Nordwind I</c:v>
                </c:pt>
                <c:pt idx="3">
                  <c:v>Vesterhav</c:v>
                </c:pt>
                <c:pt idx="4">
                  <c:v>Anholt East</c:v>
                </c:pt>
                <c:pt idx="5">
                  <c:v>Kustwind</c:v>
                </c:pt>
                <c:pt idx="6">
                  <c:v>Nordwind II</c:v>
                </c:pt>
                <c:pt idx="7">
                  <c:v>Sachsenwind</c:v>
                </c:pt>
                <c:pt idx="8">
                  <c:v>Jutland Wind</c:v>
                </c:pt>
                <c:pt idx="9">
                  <c:v>Sonnfeld I</c:v>
                </c:pt>
                <c:pt idx="10">
                  <c:v>Randstad Solar</c:v>
                </c:pt>
                <c:pt idx="11">
                  <c:v>Sonnfeld II</c:v>
                </c:pt>
              </c:strCache>
            </c:strRef>
          </c:cat>
          <c:val>
            <c:numRef>
              <c:f>'3. Downtime Analysis'!$E$6:$E$17</c:f>
              <c:numCache>
                <c:formatCode>General</c:formatCode>
                <c:ptCount val="12"/>
                <c:pt idx="0">
                  <c:v>350</c:v>
                </c:pt>
                <c:pt idx="1">
                  <c:v>480</c:v>
                </c:pt>
                <c:pt idx="2">
                  <c:v>320</c:v>
                </c:pt>
                <c:pt idx="3">
                  <c:v>180</c:v>
                </c:pt>
                <c:pt idx="4">
                  <c:v>90</c:v>
                </c:pt>
                <c:pt idx="5">
                  <c:v>110</c:v>
                </c:pt>
                <c:pt idx="6">
                  <c:v>95</c:v>
                </c:pt>
                <c:pt idx="7">
                  <c:v>60</c:v>
                </c:pt>
                <c:pt idx="8">
                  <c:v>75</c:v>
                </c:pt>
                <c:pt idx="9">
                  <c:v>55</c:v>
                </c:pt>
                <c:pt idx="10">
                  <c:v>45</c:v>
                </c:pt>
                <c:pt idx="11">
                  <c:v>40</c:v>
                </c:pt>
              </c:numCache>
            </c:numRef>
          </c:val>
        </c:ser>
        <c:ser>
          <c:idx val="1"/>
          <c:order val="1"/>
          <c:tx>
            <c:strRef>
              <c:f>'3. Downtime Analysis'!F5</c:f>
              <c:strCache>
                <c:ptCount val="1"/>
                <c:pt idx="0">
                  <c:v>Grid Curtailment (h)</c:v>
                </c:pt>
              </c:strCache>
            </c:strRef>
          </c:tx>
          <c:spPr>
            <a:solidFill>
              <a:srgbClr val="f5a6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Downtime Analysis'!$B$6:$B$17</c:f>
              <c:strCache>
                <c:ptCount val="12"/>
                <c:pt idx="0">
                  <c:v>Nordsee Alpha</c:v>
                </c:pt>
                <c:pt idx="1">
                  <c:v>Elbewind</c:v>
                </c:pt>
                <c:pt idx="2">
                  <c:v>Nordwind I</c:v>
                </c:pt>
                <c:pt idx="3">
                  <c:v>Vesterhav</c:v>
                </c:pt>
                <c:pt idx="4">
                  <c:v>Anholt East</c:v>
                </c:pt>
                <c:pt idx="5">
                  <c:v>Kustwind</c:v>
                </c:pt>
                <c:pt idx="6">
                  <c:v>Nordwind II</c:v>
                </c:pt>
                <c:pt idx="7">
                  <c:v>Sachsenwind</c:v>
                </c:pt>
                <c:pt idx="8">
                  <c:v>Jutland Wind</c:v>
                </c:pt>
                <c:pt idx="9">
                  <c:v>Sonnfeld I</c:v>
                </c:pt>
                <c:pt idx="10">
                  <c:v>Randstad Solar</c:v>
                </c:pt>
                <c:pt idx="11">
                  <c:v>Sonnfeld II</c:v>
                </c:pt>
              </c:strCache>
            </c:strRef>
          </c:cat>
          <c:val>
            <c:numRef>
              <c:f>'3. Downtime Analysis'!$F$6:$F$17</c:f>
              <c:numCache>
                <c:formatCode>General</c:formatCode>
                <c:ptCount val="12"/>
                <c:pt idx="0">
                  <c:v>420</c:v>
                </c:pt>
                <c:pt idx="1">
                  <c:v>40</c:v>
                </c:pt>
                <c:pt idx="2">
                  <c:v>60</c:v>
                </c:pt>
                <c:pt idx="3">
                  <c:v>50</c:v>
                </c:pt>
                <c:pt idx="4">
                  <c:v>110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'3. Downtime Analysis'!G5</c:f>
              <c:strCache>
                <c:ptCount val="1"/>
                <c:pt idx="0">
                  <c:v>Weather (h)</c:v>
                </c:pt>
              </c:strCache>
            </c:strRef>
          </c:tx>
          <c:spPr>
            <a:solidFill>
              <a:srgbClr val="7eb8d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Downtime Analysis'!$B$6:$B$17</c:f>
              <c:strCache>
                <c:ptCount val="12"/>
                <c:pt idx="0">
                  <c:v>Nordsee Alpha</c:v>
                </c:pt>
                <c:pt idx="1">
                  <c:v>Elbewind</c:v>
                </c:pt>
                <c:pt idx="2">
                  <c:v>Nordwind I</c:v>
                </c:pt>
                <c:pt idx="3">
                  <c:v>Vesterhav</c:v>
                </c:pt>
                <c:pt idx="4">
                  <c:v>Anholt East</c:v>
                </c:pt>
                <c:pt idx="5">
                  <c:v>Kustwind</c:v>
                </c:pt>
                <c:pt idx="6">
                  <c:v>Nordwind II</c:v>
                </c:pt>
                <c:pt idx="7">
                  <c:v>Sachsenwind</c:v>
                </c:pt>
                <c:pt idx="8">
                  <c:v>Jutland Wind</c:v>
                </c:pt>
                <c:pt idx="9">
                  <c:v>Sonnfeld I</c:v>
                </c:pt>
                <c:pt idx="10">
                  <c:v>Randstad Solar</c:v>
                </c:pt>
                <c:pt idx="11">
                  <c:v>Sonnfeld II</c:v>
                </c:pt>
              </c:strCache>
            </c:strRef>
          </c:cat>
          <c:val>
            <c:numRef>
              <c:f>'3. Downtime Analysis'!$G$6:$G$17</c:f>
              <c:numCache>
                <c:formatCode>General</c:formatCode>
                <c:ptCount val="12"/>
                <c:pt idx="0">
                  <c:v>80</c:v>
                </c:pt>
                <c:pt idx="1">
                  <c:v>30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45</c:v>
                </c:pt>
                <c:pt idx="6">
                  <c:v>35</c:v>
                </c:pt>
                <c:pt idx="7">
                  <c:v>25</c:v>
                </c:pt>
                <c:pt idx="8">
                  <c:v>40</c:v>
                </c:pt>
                <c:pt idx="9">
                  <c:v>20</c:v>
                </c:pt>
                <c:pt idx="10">
                  <c:v>18</c:v>
                </c:pt>
                <c:pt idx="11">
                  <c:v>15</c:v>
                </c:pt>
              </c:numCache>
            </c:numRef>
          </c:val>
        </c:ser>
        <c:ser>
          <c:idx val="3"/>
          <c:order val="3"/>
          <c:tx>
            <c:strRef>
              <c:f>'3. Downtime Analysis'!H5</c:f>
              <c:strCache>
                <c:ptCount val="1"/>
                <c:pt idx="0">
                  <c:v>Total (h)</c:v>
                </c:pt>
              </c:strCache>
            </c:strRef>
          </c:tx>
          <c:spPr>
            <a:solidFill>
              <a:srgbClr val="b0bec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Downtime Analysis'!$B$6:$B$17</c:f>
              <c:strCache>
                <c:ptCount val="12"/>
                <c:pt idx="0">
                  <c:v>Nordsee Alpha</c:v>
                </c:pt>
                <c:pt idx="1">
                  <c:v>Elbewind</c:v>
                </c:pt>
                <c:pt idx="2">
                  <c:v>Nordwind I</c:v>
                </c:pt>
                <c:pt idx="3">
                  <c:v>Vesterhav</c:v>
                </c:pt>
                <c:pt idx="4">
                  <c:v>Anholt East</c:v>
                </c:pt>
                <c:pt idx="5">
                  <c:v>Kustwind</c:v>
                </c:pt>
                <c:pt idx="6">
                  <c:v>Nordwind II</c:v>
                </c:pt>
                <c:pt idx="7">
                  <c:v>Sachsenwind</c:v>
                </c:pt>
                <c:pt idx="8">
                  <c:v>Jutland Wind</c:v>
                </c:pt>
                <c:pt idx="9">
                  <c:v>Sonnfeld I</c:v>
                </c:pt>
                <c:pt idx="10">
                  <c:v>Randstad Solar</c:v>
                </c:pt>
                <c:pt idx="11">
                  <c:v>Sonnfeld II</c:v>
                </c:pt>
              </c:strCache>
            </c:strRef>
          </c:cat>
          <c:val>
            <c:numRef>
              <c:f>'3. Downtime Analysis'!$H$6:$H$17</c:f>
              <c:numCache>
                <c:formatCode>General</c:formatCode>
                <c:ptCount val="12"/>
                <c:pt idx="0">
                  <c:v>1060</c:v>
                </c:pt>
                <c:pt idx="1">
                  <c:v>750</c:v>
                </c:pt>
                <c:pt idx="2">
                  <c:v>600</c:v>
                </c:pt>
                <c:pt idx="3">
                  <c:v>475</c:v>
                </c:pt>
                <c:pt idx="4">
                  <c:v>490</c:v>
                </c:pt>
                <c:pt idx="5">
                  <c:v>395</c:v>
                </c:pt>
                <c:pt idx="6">
                  <c:v>370</c:v>
                </c:pt>
                <c:pt idx="7">
                  <c:v>295</c:v>
                </c:pt>
                <c:pt idx="8">
                  <c:v>315</c:v>
                </c:pt>
                <c:pt idx="9">
                  <c:v>155</c:v>
                </c:pt>
                <c:pt idx="10">
                  <c:v>128</c:v>
                </c:pt>
                <c:pt idx="11">
                  <c:v>125</c:v>
                </c:pt>
              </c:numCache>
            </c:numRef>
          </c:val>
        </c:ser>
        <c:gapWidth val="150"/>
        <c:overlap val="100"/>
        <c:axId val="21203574"/>
        <c:axId val="46797387"/>
      </c:barChart>
      <c:catAx>
        <c:axId val="21203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97387"/>
        <c:crosses val="autoZero"/>
        <c:auto val="1"/>
        <c:lblAlgn val="ctr"/>
        <c:lblOffset val="100"/>
        <c:noMultiLvlLbl val="0"/>
      </c:catAx>
      <c:valAx>
        <c:axId val="46797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03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Gap vs Target by Asset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'4. Revenue Model'!J5</c:f>
              <c:strCache>
                <c:ptCount val="1"/>
                <c:pt idx="0">
                  <c:v>Revenue Gap (€)</c:v>
                </c:pt>
              </c:strCache>
            </c:strRef>
          </c:tx>
          <c:spPr>
            <a:solidFill>
              <a:srgbClr val="1c3f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Revenue Model'!$B$6:$B$17</c:f>
              <c:strCache>
                <c:ptCount val="12"/>
                <c:pt idx="0">
                  <c:v>Nordsee Alpha</c:v>
                </c:pt>
                <c:pt idx="1">
                  <c:v>Nordwind I</c:v>
                </c:pt>
                <c:pt idx="2">
                  <c:v>Elbewind</c:v>
                </c:pt>
                <c:pt idx="3">
                  <c:v>Vesterhav</c:v>
                </c:pt>
                <c:pt idx="4">
                  <c:v>Kustwind</c:v>
                </c:pt>
                <c:pt idx="5">
                  <c:v>Nordwind II</c:v>
                </c:pt>
                <c:pt idx="6">
                  <c:v>Sonnfeld I</c:v>
                </c:pt>
                <c:pt idx="7">
                  <c:v>Randstad Solar</c:v>
                </c:pt>
                <c:pt idx="8">
                  <c:v>Sonnfeld II</c:v>
                </c:pt>
                <c:pt idx="9">
                  <c:v>Jutland Wind</c:v>
                </c:pt>
                <c:pt idx="10">
                  <c:v>Sachsenwind</c:v>
                </c:pt>
                <c:pt idx="11">
                  <c:v>Anholt East</c:v>
                </c:pt>
              </c:strCache>
            </c:strRef>
          </c:cat>
          <c:val>
            <c:numRef>
              <c:f>'4. Revenue Model'!$J$6:$J$17</c:f>
              <c:numCache>
                <c:formatCode>\€#,##0;"(€"#,##0\);\-</c:formatCode>
                <c:ptCount val="12"/>
                <c:pt idx="0">
                  <c:v>-3595103.99999999</c:v>
                </c:pt>
                <c:pt idx="1">
                  <c:v>-1515935.52</c:v>
                </c:pt>
                <c:pt idx="2">
                  <c:v>-1056561.12</c:v>
                </c:pt>
                <c:pt idx="3">
                  <c:v>-964686.239999997</c:v>
                </c:pt>
                <c:pt idx="4">
                  <c:v>-620558.4</c:v>
                </c:pt>
                <c:pt idx="5">
                  <c:v>-321562.08</c:v>
                </c:pt>
                <c:pt idx="6">
                  <c:v>-212211</c:v>
                </c:pt>
                <c:pt idx="7">
                  <c:v>-178704</c:v>
                </c:pt>
                <c:pt idx="8">
                  <c:v>-148547.7</c:v>
                </c:pt>
                <c:pt idx="9">
                  <c:v>217598.4</c:v>
                </c:pt>
                <c:pt idx="10">
                  <c:v>267968.4</c:v>
                </c:pt>
                <c:pt idx="11">
                  <c:v>2128680</c:v>
                </c:pt>
              </c:numCache>
            </c:numRef>
          </c:val>
        </c:ser>
        <c:gapWidth val="150"/>
        <c:overlap val="0"/>
        <c:axId val="60718331"/>
        <c:axId val="31066986"/>
      </c:barChart>
      <c:catAx>
        <c:axId val="6071833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Gap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66986"/>
        <c:crosses val="autoZero"/>
        <c:auto val="1"/>
        <c:lblAlgn val="ctr"/>
        <c:lblOffset val="100"/>
        <c:noMultiLvlLbl val="0"/>
      </c:catAx>
      <c:valAx>
        <c:axId val="31066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;&quot;(€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18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9</xdr:col>
      <xdr:colOff>493920</xdr:colOff>
      <xdr:row>45</xdr:row>
      <xdr:rowOff>86400</xdr:rowOff>
    </xdr:to>
    <xdr:graphicFrame>
      <xdr:nvGraphicFramePr>
        <xdr:cNvPr id="0" name="Chart 1"/>
        <xdr:cNvGraphicFramePr/>
      </xdr:nvGraphicFramePr>
      <xdr:xfrm>
        <a:off x="141120" y="4410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8</xdr:col>
      <xdr:colOff>1027440</xdr:colOff>
      <xdr:row>47</xdr:row>
      <xdr:rowOff>86760</xdr:rowOff>
    </xdr:to>
    <xdr:graphicFrame>
      <xdr:nvGraphicFramePr>
        <xdr:cNvPr id="1" name="Chart 1"/>
        <xdr:cNvGraphicFramePr/>
      </xdr:nvGraphicFramePr>
      <xdr:xfrm>
        <a:off x="141120" y="48862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8</xdr:col>
      <xdr:colOff>166320</xdr:colOff>
      <xdr:row>47</xdr:row>
      <xdr:rowOff>86760</xdr:rowOff>
    </xdr:to>
    <xdr:graphicFrame>
      <xdr:nvGraphicFramePr>
        <xdr:cNvPr id="2" name="Chart 1"/>
        <xdr:cNvGraphicFramePr/>
      </xdr:nvGraphicFramePr>
      <xdr:xfrm>
        <a:off x="141120" y="48862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25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</row>
    <row r="3" customFormat="false" ht="30" hidden="false" customHeight="true" outlineLevel="0" collapsed="false">
      <c r="B3" s="2" t="s">
        <v>1</v>
      </c>
      <c r="C3" s="2"/>
      <c r="D3" s="2"/>
    </row>
    <row r="4" customFormat="false" ht="3" hidden="false" customHeight="true" outlineLevel="0" collapsed="false">
      <c r="B4" s="3"/>
      <c r="C4" s="3"/>
      <c r="D4" s="3"/>
    </row>
    <row r="5" customFormat="false" ht="15.75" hidden="false" customHeight="true" outlineLevel="0" collapsed="false">
      <c r="B5" s="4" t="s">
        <v>2</v>
      </c>
      <c r="C5" s="5" t="s">
        <v>3</v>
      </c>
    </row>
    <row r="6" customFormat="false" ht="15.75" hidden="false" customHeight="true" outlineLevel="0" collapsed="false">
      <c r="B6" s="4" t="s">
        <v>4</v>
      </c>
      <c r="C6" s="5" t="s">
        <v>5</v>
      </c>
    </row>
    <row r="7" customFormat="false" ht="15.75" hidden="false" customHeight="true" outlineLevel="0" collapsed="false">
      <c r="B7" s="4" t="s">
        <v>6</v>
      </c>
      <c r="C7" s="5" t="s">
        <v>7</v>
      </c>
    </row>
    <row r="8" customFormat="false" ht="15.75" hidden="false" customHeight="true" outlineLevel="0" collapsed="false">
      <c r="B8" s="4" t="s">
        <v>8</v>
      </c>
      <c r="C8" s="5" t="s">
        <v>9</v>
      </c>
    </row>
    <row r="9" customFormat="false" ht="15.75" hidden="false" customHeight="true" outlineLevel="0" collapsed="false">
      <c r="B9" s="4" t="s">
        <v>10</v>
      </c>
      <c r="C9" s="5" t="s">
        <v>11</v>
      </c>
    </row>
    <row r="10" customFormat="false" ht="15.75" hidden="false" customHeight="true" outlineLevel="0" collapsed="false">
      <c r="B10" s="4" t="s">
        <v>12</v>
      </c>
      <c r="C10" s="5" t="s">
        <v>13</v>
      </c>
    </row>
    <row r="12" customFormat="false" ht="19.5" hidden="false" customHeight="true" outlineLevel="0" collapsed="false">
      <c r="B12" s="6" t="s">
        <v>14</v>
      </c>
    </row>
    <row r="13" customFormat="false" ht="15.75" hidden="false" customHeight="true" outlineLevel="0" collapsed="false">
      <c r="B13" s="7" t="s">
        <v>15</v>
      </c>
      <c r="C13" s="8" t="s">
        <v>16</v>
      </c>
    </row>
    <row r="14" customFormat="false" ht="15.75" hidden="false" customHeight="true" outlineLevel="0" collapsed="false">
      <c r="B14" s="7" t="s">
        <v>17</v>
      </c>
      <c r="C14" s="8" t="s">
        <v>18</v>
      </c>
    </row>
    <row r="15" customFormat="false" ht="15.75" hidden="false" customHeight="true" outlineLevel="0" collapsed="false">
      <c r="B15" s="7" t="s">
        <v>19</v>
      </c>
      <c r="C15" s="8" t="s">
        <v>20</v>
      </c>
    </row>
    <row r="16" customFormat="false" ht="15.75" hidden="false" customHeight="true" outlineLevel="0" collapsed="false">
      <c r="B16" s="7" t="s">
        <v>21</v>
      </c>
      <c r="C16" s="8" t="s">
        <v>22</v>
      </c>
    </row>
    <row r="17" customFormat="false" ht="15.75" hidden="false" customHeight="true" outlineLevel="0" collapsed="false">
      <c r="B17" s="7" t="s">
        <v>23</v>
      </c>
      <c r="C17" s="8" t="s">
        <v>24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14" min="7" style="0" width="14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9" t="s">
        <v>25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3.5" hidden="false" customHeight="true" outlineLevel="0" collapsed="false">
      <c r="B3" s="10" t="s">
        <v>26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customFormat="false" ht="19.5" hidden="false" customHeight="true" outlineLevel="0" collapsed="false">
      <c r="B5" s="11" t="s">
        <v>27</v>
      </c>
      <c r="C5" s="3"/>
      <c r="D5" s="3"/>
      <c r="E5" s="3"/>
      <c r="F5" s="3"/>
      <c r="G5" s="3"/>
      <c r="H5" s="3"/>
      <c r="I5" s="3"/>
    </row>
    <row r="6" customFormat="false" ht="31.5" hidden="false" customHeight="true" outlineLevel="0" collapsed="false">
      <c r="B6" s="12" t="s">
        <v>28</v>
      </c>
      <c r="C6" s="12" t="s">
        <v>29</v>
      </c>
      <c r="D6" s="12" t="s">
        <v>30</v>
      </c>
      <c r="E6" s="12" t="s">
        <v>31</v>
      </c>
      <c r="F6" s="12" t="s">
        <v>32</v>
      </c>
      <c r="G6" s="12" t="s">
        <v>33</v>
      </c>
      <c r="H6" s="12" t="s">
        <v>34</v>
      </c>
      <c r="I6" s="12" t="s">
        <v>35</v>
      </c>
    </row>
    <row r="7" customFormat="false" ht="18" hidden="false" customHeight="true" outlineLevel="0" collapsed="false">
      <c r="B7" s="13" t="s">
        <v>36</v>
      </c>
      <c r="C7" s="13" t="s">
        <v>37</v>
      </c>
      <c r="D7" s="13" t="s">
        <v>38</v>
      </c>
      <c r="E7" s="14" t="n">
        <v>45</v>
      </c>
      <c r="F7" s="14" t="n">
        <v>2016</v>
      </c>
      <c r="G7" s="15" t="n">
        <v>0.23</v>
      </c>
      <c r="H7" s="15" t="n">
        <v>0.186</v>
      </c>
      <c r="I7" s="16" t="n">
        <f aca="false">H7-G7</f>
        <v>-0.044</v>
      </c>
    </row>
    <row r="8" customFormat="false" ht="18" hidden="false" customHeight="true" outlineLevel="0" collapsed="false">
      <c r="B8" s="13" t="s">
        <v>39</v>
      </c>
      <c r="C8" s="13" t="s">
        <v>37</v>
      </c>
      <c r="D8" s="13" t="s">
        <v>38</v>
      </c>
      <c r="E8" s="14" t="n">
        <v>60</v>
      </c>
      <c r="F8" s="14" t="n">
        <v>2018</v>
      </c>
      <c r="G8" s="15" t="n">
        <v>0.23</v>
      </c>
      <c r="H8" s="15" t="n">
        <v>0.223</v>
      </c>
      <c r="I8" s="16" t="n">
        <f aca="false">H8-G8</f>
        <v>-0.00700000000000001</v>
      </c>
    </row>
    <row r="9" customFormat="false" ht="18" hidden="false" customHeight="true" outlineLevel="0" collapsed="false">
      <c r="B9" s="13" t="s">
        <v>40</v>
      </c>
      <c r="C9" s="13" t="s">
        <v>37</v>
      </c>
      <c r="D9" s="13" t="s">
        <v>38</v>
      </c>
      <c r="E9" s="14" t="n">
        <v>30</v>
      </c>
      <c r="F9" s="14" t="n">
        <v>2015</v>
      </c>
      <c r="G9" s="15" t="n">
        <v>0.23</v>
      </c>
      <c r="H9" s="15" t="n">
        <v>0.184</v>
      </c>
      <c r="I9" s="16" t="n">
        <f aca="false">H9-G9</f>
        <v>-0.046</v>
      </c>
    </row>
    <row r="10" customFormat="false" ht="18" hidden="false" customHeight="true" outlineLevel="0" collapsed="false">
      <c r="B10" s="13" t="s">
        <v>41</v>
      </c>
      <c r="C10" s="13" t="s">
        <v>37</v>
      </c>
      <c r="D10" s="13" t="s">
        <v>38</v>
      </c>
      <c r="E10" s="14" t="n">
        <v>50</v>
      </c>
      <c r="F10" s="14" t="n">
        <v>2021</v>
      </c>
      <c r="G10" s="15" t="n">
        <v>0.23</v>
      </c>
      <c r="H10" s="15" t="n">
        <v>0.237</v>
      </c>
      <c r="I10" s="17" t="n">
        <f aca="false">H10-G10</f>
        <v>0.00699999999999998</v>
      </c>
    </row>
    <row r="11" customFormat="false" ht="18" hidden="false" customHeight="true" outlineLevel="0" collapsed="false">
      <c r="B11" s="13" t="s">
        <v>42</v>
      </c>
      <c r="C11" s="13" t="s">
        <v>37</v>
      </c>
      <c r="D11" s="13" t="s">
        <v>43</v>
      </c>
      <c r="E11" s="14" t="n">
        <v>25</v>
      </c>
      <c r="F11" s="14" t="n">
        <v>2019</v>
      </c>
      <c r="G11" s="15" t="n">
        <v>0.11</v>
      </c>
      <c r="H11" s="15" t="n">
        <v>0.098</v>
      </c>
      <c r="I11" s="16" t="n">
        <f aca="false">H11-G11</f>
        <v>-0.012</v>
      </c>
    </row>
    <row r="12" customFormat="false" ht="18" hidden="false" customHeight="true" outlineLevel="0" collapsed="false">
      <c r="B12" s="13" t="s">
        <v>44</v>
      </c>
      <c r="C12" s="13" t="s">
        <v>37</v>
      </c>
      <c r="D12" s="13" t="s">
        <v>43</v>
      </c>
      <c r="E12" s="14" t="n">
        <v>35</v>
      </c>
      <c r="F12" s="14" t="n">
        <v>2022</v>
      </c>
      <c r="G12" s="15" t="n">
        <v>0.11</v>
      </c>
      <c r="H12" s="15" t="n">
        <v>0.104</v>
      </c>
      <c r="I12" s="16" t="n">
        <f aca="false">H12-G12</f>
        <v>-0.00600000000000001</v>
      </c>
    </row>
    <row r="13" customFormat="false" ht="18" hidden="false" customHeight="true" outlineLevel="0" collapsed="false">
      <c r="B13" s="18" t="s">
        <v>45</v>
      </c>
      <c r="C13" s="18" t="s">
        <v>46</v>
      </c>
      <c r="D13" s="18" t="s">
        <v>38</v>
      </c>
      <c r="E13" s="14" t="n">
        <v>55</v>
      </c>
      <c r="F13" s="14" t="n">
        <v>2017</v>
      </c>
      <c r="G13" s="15" t="n">
        <v>0.26</v>
      </c>
      <c r="H13" s="15" t="n">
        <v>0.246</v>
      </c>
      <c r="I13" s="16" t="n">
        <f aca="false">H13-G13</f>
        <v>-0.014</v>
      </c>
    </row>
    <row r="14" customFormat="false" ht="18" hidden="false" customHeight="true" outlineLevel="0" collapsed="false">
      <c r="B14" s="18" t="s">
        <v>47</v>
      </c>
      <c r="C14" s="18" t="s">
        <v>46</v>
      </c>
      <c r="D14" s="18" t="s">
        <v>48</v>
      </c>
      <c r="E14" s="14" t="n">
        <v>120</v>
      </c>
      <c r="F14" s="14" t="n">
        <v>2023</v>
      </c>
      <c r="G14" s="15" t="n">
        <v>0.38</v>
      </c>
      <c r="H14" s="15" t="n">
        <v>0.342</v>
      </c>
      <c r="I14" s="16" t="n">
        <f aca="false">H14-G14</f>
        <v>-0.038</v>
      </c>
    </row>
    <row r="15" customFormat="false" ht="18" hidden="false" customHeight="true" outlineLevel="0" collapsed="false">
      <c r="B15" s="18" t="s">
        <v>49</v>
      </c>
      <c r="C15" s="18" t="s">
        <v>46</v>
      </c>
      <c r="D15" s="18" t="s">
        <v>43</v>
      </c>
      <c r="E15" s="14" t="n">
        <v>40</v>
      </c>
      <c r="F15" s="14" t="n">
        <v>2020</v>
      </c>
      <c r="G15" s="15" t="n">
        <v>0.11</v>
      </c>
      <c r="H15" s="15" t="n">
        <v>0.104</v>
      </c>
      <c r="I15" s="16" t="n">
        <f aca="false">H15-G15</f>
        <v>-0.00600000000000001</v>
      </c>
    </row>
    <row r="16" customFormat="false" ht="18" hidden="false" customHeight="true" outlineLevel="0" collapsed="false">
      <c r="B16" s="19" t="s">
        <v>50</v>
      </c>
      <c r="C16" s="19" t="s">
        <v>51</v>
      </c>
      <c r="D16" s="19" t="s">
        <v>38</v>
      </c>
      <c r="E16" s="14" t="n">
        <v>70</v>
      </c>
      <c r="F16" s="14" t="n">
        <v>2016</v>
      </c>
      <c r="G16" s="15" t="n">
        <v>0.29</v>
      </c>
      <c r="H16" s="15" t="n">
        <v>0.271</v>
      </c>
      <c r="I16" s="16" t="n">
        <f aca="false">H16-G16</f>
        <v>-0.019</v>
      </c>
    </row>
    <row r="17" customFormat="false" ht="18" hidden="false" customHeight="true" outlineLevel="0" collapsed="false">
      <c r="B17" s="19" t="s">
        <v>52</v>
      </c>
      <c r="C17" s="19" t="s">
        <v>51</v>
      </c>
      <c r="D17" s="19" t="s">
        <v>38</v>
      </c>
      <c r="E17" s="14" t="n">
        <v>50</v>
      </c>
      <c r="F17" s="14" t="n">
        <v>2020</v>
      </c>
      <c r="G17" s="15" t="n">
        <v>0.29</v>
      </c>
      <c r="H17" s="15" t="n">
        <v>0.296</v>
      </c>
      <c r="I17" s="17" t="n">
        <f aca="false">H17-G17</f>
        <v>0.00600000000000001</v>
      </c>
    </row>
    <row r="18" customFormat="false" ht="18" hidden="false" customHeight="true" outlineLevel="0" collapsed="false">
      <c r="B18" s="19" t="s">
        <v>53</v>
      </c>
      <c r="C18" s="19" t="s">
        <v>51</v>
      </c>
      <c r="D18" s="19" t="s">
        <v>48</v>
      </c>
      <c r="E18" s="14" t="n">
        <v>150</v>
      </c>
      <c r="F18" s="14" t="n">
        <v>2022</v>
      </c>
      <c r="G18" s="15" t="n">
        <v>0.4</v>
      </c>
      <c r="H18" s="15" t="n">
        <v>0.42</v>
      </c>
      <c r="I18" s="17" t="n">
        <f aca="false">H18-G18</f>
        <v>0.02</v>
      </c>
    </row>
    <row r="19" customFormat="false" ht="18" hidden="false" customHeight="true" outlineLevel="0" collapsed="false">
      <c r="B19" s="12" t="s">
        <v>54</v>
      </c>
      <c r="C19" s="12"/>
      <c r="D19" s="12"/>
      <c r="E19" s="20" t="n">
        <f aca="false">SUM(E7:E18)</f>
        <v>730</v>
      </c>
      <c r="F19" s="12"/>
      <c r="G19" s="21" t="n">
        <f aca="false">AVERAGE(G7:G18)</f>
        <v>0.239166666666667</v>
      </c>
      <c r="H19" s="21" t="n">
        <f aca="false">AVERAGE(H7:H18)</f>
        <v>0.225916666666667</v>
      </c>
      <c r="I19" s="12"/>
    </row>
    <row r="22" customFormat="false" ht="19.5" hidden="false" customHeight="true" outlineLevel="0" collapsed="false">
      <c r="B22" s="11" t="s">
        <v>55</v>
      </c>
      <c r="C22" s="3"/>
      <c r="D22" s="3"/>
      <c r="E22" s="3"/>
      <c r="F22" s="3"/>
      <c r="G22" s="3"/>
    </row>
    <row r="23" customFormat="false" ht="18" hidden="false" customHeight="true" outlineLevel="0" collapsed="false">
      <c r="B23" s="22" t="s">
        <v>56</v>
      </c>
      <c r="C23" s="22" t="s">
        <v>57</v>
      </c>
      <c r="D23" s="22" t="s">
        <v>58</v>
      </c>
    </row>
    <row r="24" customFormat="false" ht="15.75" hidden="false" customHeight="true" outlineLevel="0" collapsed="false">
      <c r="B24" s="23" t="s">
        <v>37</v>
      </c>
      <c r="C24" s="24" t="n">
        <v>95</v>
      </c>
      <c r="D24" s="23" t="s">
        <v>59</v>
      </c>
    </row>
    <row r="25" customFormat="false" ht="15.75" hidden="false" customHeight="true" outlineLevel="0" collapsed="false">
      <c r="B25" s="23" t="s">
        <v>46</v>
      </c>
      <c r="C25" s="24" t="n">
        <v>100</v>
      </c>
      <c r="D25" s="23" t="s">
        <v>59</v>
      </c>
    </row>
    <row r="26" customFormat="false" ht="15.75" hidden="false" customHeight="true" outlineLevel="0" collapsed="false">
      <c r="B26" s="23" t="s">
        <v>51</v>
      </c>
      <c r="C26" s="24" t="n">
        <v>90</v>
      </c>
      <c r="D26" s="23" t="s">
        <v>59</v>
      </c>
    </row>
    <row r="28" customFormat="false" ht="18" hidden="false" customHeight="true" outlineLevel="0" collapsed="false">
      <c r="B28" s="22" t="s">
        <v>30</v>
      </c>
      <c r="C28" s="22" t="s">
        <v>60</v>
      </c>
      <c r="D28" s="22" t="s">
        <v>61</v>
      </c>
    </row>
    <row r="29" customFormat="false" ht="15.75" hidden="false" customHeight="true" outlineLevel="0" collapsed="false">
      <c r="B29" s="23" t="s">
        <v>38</v>
      </c>
      <c r="C29" s="25" t="n">
        <v>0.92</v>
      </c>
      <c r="D29" s="23" t="s">
        <v>62</v>
      </c>
    </row>
    <row r="30" customFormat="false" ht="15.75" hidden="false" customHeight="true" outlineLevel="0" collapsed="false">
      <c r="B30" s="23" t="s">
        <v>48</v>
      </c>
      <c r="C30" s="25" t="n">
        <v>0.9</v>
      </c>
      <c r="D30" s="23" t="s">
        <v>63</v>
      </c>
    </row>
    <row r="31" customFormat="false" ht="15.75" hidden="false" customHeight="true" outlineLevel="0" collapsed="false">
      <c r="B31" s="23" t="s">
        <v>43</v>
      </c>
      <c r="C31" s="25" t="n">
        <v>0.85</v>
      </c>
      <c r="D31" s="23" t="s">
        <v>64</v>
      </c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9" t="s">
        <v>65</v>
      </c>
      <c r="C2" s="9"/>
      <c r="D2" s="9"/>
      <c r="E2" s="9"/>
      <c r="F2" s="9"/>
      <c r="G2" s="9"/>
    </row>
    <row r="3" customFormat="false" ht="19.5" hidden="false" customHeight="true" outlineLevel="0" collapsed="false">
      <c r="B3" s="10" t="s">
        <v>66</v>
      </c>
      <c r="C3" s="10"/>
      <c r="D3" s="10"/>
      <c r="E3" s="10"/>
      <c r="F3" s="10"/>
      <c r="G3" s="10"/>
    </row>
    <row r="5" customFormat="false" ht="31.5" hidden="false" customHeight="true" outlineLevel="0" collapsed="false">
      <c r="B5" s="12" t="s">
        <v>67</v>
      </c>
      <c r="C5" s="12" t="s">
        <v>29</v>
      </c>
      <c r="D5" s="12" t="s">
        <v>33</v>
      </c>
      <c r="E5" s="12" t="s">
        <v>34</v>
      </c>
      <c r="F5" s="12" t="s">
        <v>68</v>
      </c>
      <c r="G5" s="12" t="s">
        <v>69</v>
      </c>
    </row>
    <row r="6" customFormat="false" ht="18" hidden="false" customHeight="true" outlineLevel="0" collapsed="false">
      <c r="B6" s="26" t="s">
        <v>40</v>
      </c>
      <c r="C6" s="13" t="s">
        <v>37</v>
      </c>
      <c r="D6" s="27" t="n">
        <v>0.23</v>
      </c>
      <c r="E6" s="27" t="n">
        <v>0.184</v>
      </c>
      <c r="F6" s="28" t="n">
        <v>-0.046</v>
      </c>
      <c r="G6" s="29" t="s">
        <v>70</v>
      </c>
    </row>
    <row r="7" customFormat="false" ht="18" hidden="false" customHeight="true" outlineLevel="0" collapsed="false">
      <c r="B7" s="26" t="s">
        <v>36</v>
      </c>
      <c r="C7" s="13" t="s">
        <v>37</v>
      </c>
      <c r="D7" s="27" t="n">
        <v>0.23</v>
      </c>
      <c r="E7" s="27" t="n">
        <v>0.186</v>
      </c>
      <c r="F7" s="28" t="n">
        <v>-0.044</v>
      </c>
      <c r="G7" s="29" t="s">
        <v>70</v>
      </c>
    </row>
    <row r="8" customFormat="false" ht="18" hidden="false" customHeight="true" outlineLevel="0" collapsed="false">
      <c r="B8" s="30" t="s">
        <v>47</v>
      </c>
      <c r="C8" s="18" t="s">
        <v>46</v>
      </c>
      <c r="D8" s="27" t="n">
        <v>0.38</v>
      </c>
      <c r="E8" s="27" t="n">
        <v>0.342</v>
      </c>
      <c r="F8" s="28" t="n">
        <v>-0.038</v>
      </c>
      <c r="G8" s="29" t="s">
        <v>70</v>
      </c>
    </row>
    <row r="9" customFormat="false" ht="18" hidden="false" customHeight="true" outlineLevel="0" collapsed="false">
      <c r="B9" s="31" t="s">
        <v>50</v>
      </c>
      <c r="C9" s="19" t="s">
        <v>51</v>
      </c>
      <c r="D9" s="27" t="n">
        <v>0.29</v>
      </c>
      <c r="E9" s="27" t="n">
        <v>0.271</v>
      </c>
      <c r="F9" s="32" t="n">
        <v>-0.019</v>
      </c>
      <c r="G9" s="33" t="s">
        <v>71</v>
      </c>
    </row>
    <row r="10" customFormat="false" ht="18" hidden="false" customHeight="true" outlineLevel="0" collapsed="false">
      <c r="B10" s="30" t="s">
        <v>45</v>
      </c>
      <c r="C10" s="18" t="s">
        <v>46</v>
      </c>
      <c r="D10" s="27" t="n">
        <v>0.26</v>
      </c>
      <c r="E10" s="27" t="n">
        <v>0.246</v>
      </c>
      <c r="F10" s="32" t="n">
        <v>-0.014</v>
      </c>
      <c r="G10" s="33" t="s">
        <v>71</v>
      </c>
    </row>
    <row r="11" customFormat="false" ht="18" hidden="false" customHeight="true" outlineLevel="0" collapsed="false">
      <c r="B11" s="26" t="s">
        <v>42</v>
      </c>
      <c r="C11" s="13" t="s">
        <v>37</v>
      </c>
      <c r="D11" s="27" t="n">
        <v>0.11</v>
      </c>
      <c r="E11" s="27" t="n">
        <v>0.098</v>
      </c>
      <c r="F11" s="32" t="n">
        <v>-0.012</v>
      </c>
      <c r="G11" s="33" t="s">
        <v>71</v>
      </c>
    </row>
    <row r="12" customFormat="false" ht="18" hidden="false" customHeight="true" outlineLevel="0" collapsed="false">
      <c r="B12" s="26" t="s">
        <v>39</v>
      </c>
      <c r="C12" s="13" t="s">
        <v>37</v>
      </c>
      <c r="D12" s="27" t="n">
        <v>0.23</v>
      </c>
      <c r="E12" s="27" t="n">
        <v>0.223</v>
      </c>
      <c r="F12" s="32" t="n">
        <v>-0.00700000000000001</v>
      </c>
      <c r="G12" s="33" t="s">
        <v>71</v>
      </c>
    </row>
    <row r="13" customFormat="false" ht="18" hidden="false" customHeight="true" outlineLevel="0" collapsed="false">
      <c r="B13" s="26" t="s">
        <v>44</v>
      </c>
      <c r="C13" s="13" t="s">
        <v>37</v>
      </c>
      <c r="D13" s="27" t="n">
        <v>0.11</v>
      </c>
      <c r="E13" s="27" t="n">
        <v>0.104</v>
      </c>
      <c r="F13" s="32" t="n">
        <v>-0.00600000000000001</v>
      </c>
      <c r="G13" s="33" t="s">
        <v>71</v>
      </c>
    </row>
    <row r="14" customFormat="false" ht="18" hidden="false" customHeight="true" outlineLevel="0" collapsed="false">
      <c r="B14" s="30" t="s">
        <v>49</v>
      </c>
      <c r="C14" s="18" t="s">
        <v>46</v>
      </c>
      <c r="D14" s="27" t="n">
        <v>0.11</v>
      </c>
      <c r="E14" s="27" t="n">
        <v>0.104</v>
      </c>
      <c r="F14" s="32" t="n">
        <v>-0.00600000000000001</v>
      </c>
      <c r="G14" s="33" t="s">
        <v>71</v>
      </c>
    </row>
    <row r="15" customFormat="false" ht="18" hidden="false" customHeight="true" outlineLevel="0" collapsed="false">
      <c r="B15" s="31" t="s">
        <v>52</v>
      </c>
      <c r="C15" s="19" t="s">
        <v>51</v>
      </c>
      <c r="D15" s="27" t="n">
        <v>0.29</v>
      </c>
      <c r="E15" s="27" t="n">
        <v>0.296</v>
      </c>
      <c r="F15" s="34" t="n">
        <v>0.00600000000000001</v>
      </c>
      <c r="G15" s="35" t="s">
        <v>72</v>
      </c>
    </row>
    <row r="16" customFormat="false" ht="18" hidden="false" customHeight="true" outlineLevel="0" collapsed="false">
      <c r="B16" s="26" t="s">
        <v>41</v>
      </c>
      <c r="C16" s="13" t="s">
        <v>37</v>
      </c>
      <c r="D16" s="27" t="n">
        <v>0.23</v>
      </c>
      <c r="E16" s="27" t="n">
        <v>0.237</v>
      </c>
      <c r="F16" s="34" t="n">
        <v>0.00699999999999998</v>
      </c>
      <c r="G16" s="35" t="s">
        <v>72</v>
      </c>
    </row>
    <row r="17" customFormat="false" ht="18" hidden="false" customHeight="true" outlineLevel="0" collapsed="false">
      <c r="B17" s="31" t="s">
        <v>53</v>
      </c>
      <c r="C17" s="19" t="s">
        <v>51</v>
      </c>
      <c r="D17" s="27" t="n">
        <v>0.4</v>
      </c>
      <c r="E17" s="27" t="n">
        <v>0.42</v>
      </c>
      <c r="F17" s="34" t="n">
        <v>0.02</v>
      </c>
      <c r="G17" s="35" t="s">
        <v>72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8" min="7" style="0" width="14"/>
    <col collapsed="false" customWidth="true" hidden="false" outlineLevel="0" max="9" min="9" style="0" width="20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9" t="s">
        <v>73</v>
      </c>
      <c r="C2" s="9"/>
      <c r="D2" s="9"/>
      <c r="E2" s="9"/>
      <c r="F2" s="9"/>
      <c r="G2" s="9"/>
      <c r="H2" s="9"/>
      <c r="I2" s="9"/>
    </row>
    <row r="3" customFormat="false" ht="19.5" hidden="false" customHeight="true" outlineLevel="0" collapsed="false">
      <c r="B3" s="10" t="s">
        <v>74</v>
      </c>
      <c r="C3" s="10"/>
      <c r="D3" s="10"/>
      <c r="E3" s="10"/>
      <c r="F3" s="10"/>
      <c r="G3" s="10"/>
      <c r="H3" s="10"/>
      <c r="I3" s="10"/>
    </row>
    <row r="5" customFormat="false" ht="36" hidden="false" customHeight="true" outlineLevel="0" collapsed="false">
      <c r="B5" s="12" t="s">
        <v>67</v>
      </c>
      <c r="C5" s="12" t="s">
        <v>29</v>
      </c>
      <c r="D5" s="12" t="s">
        <v>75</v>
      </c>
      <c r="E5" s="12" t="s">
        <v>76</v>
      </c>
      <c r="F5" s="12" t="s">
        <v>77</v>
      </c>
      <c r="G5" s="12" t="s">
        <v>78</v>
      </c>
      <c r="H5" s="12" t="s">
        <v>79</v>
      </c>
      <c r="I5" s="12" t="s">
        <v>80</v>
      </c>
    </row>
    <row r="6" customFormat="false" ht="18" hidden="false" customHeight="true" outlineLevel="0" collapsed="false">
      <c r="B6" s="30" t="s">
        <v>47</v>
      </c>
      <c r="C6" s="18" t="s">
        <v>46</v>
      </c>
      <c r="D6" s="36" t="n">
        <v>210</v>
      </c>
      <c r="E6" s="29" t="n">
        <v>350</v>
      </c>
      <c r="F6" s="33" t="n">
        <v>420</v>
      </c>
      <c r="G6" s="36" t="n">
        <v>80</v>
      </c>
      <c r="H6" s="37" t="n">
        <v>1060</v>
      </c>
      <c r="I6" s="29" t="s">
        <v>81</v>
      </c>
    </row>
    <row r="7" customFormat="false" ht="18" hidden="false" customHeight="true" outlineLevel="0" collapsed="false">
      <c r="B7" s="26" t="s">
        <v>40</v>
      </c>
      <c r="C7" s="13" t="s">
        <v>37</v>
      </c>
      <c r="D7" s="36" t="n">
        <v>200</v>
      </c>
      <c r="E7" s="29" t="n">
        <v>480</v>
      </c>
      <c r="F7" s="38" t="n">
        <v>40</v>
      </c>
      <c r="G7" s="36" t="n">
        <v>30</v>
      </c>
      <c r="H7" s="37" t="n">
        <v>750</v>
      </c>
      <c r="I7" s="29" t="s">
        <v>81</v>
      </c>
    </row>
    <row r="8" customFormat="false" ht="18" hidden="false" customHeight="true" outlineLevel="0" collapsed="false">
      <c r="B8" s="26" t="s">
        <v>36</v>
      </c>
      <c r="C8" s="13" t="s">
        <v>37</v>
      </c>
      <c r="D8" s="36" t="n">
        <v>180</v>
      </c>
      <c r="E8" s="29" t="n">
        <v>320</v>
      </c>
      <c r="F8" s="38" t="n">
        <v>60</v>
      </c>
      <c r="G8" s="36" t="n">
        <v>40</v>
      </c>
      <c r="H8" s="37" t="n">
        <v>600</v>
      </c>
      <c r="I8" s="29" t="s">
        <v>81</v>
      </c>
    </row>
    <row r="9" customFormat="false" ht="18" hidden="false" customHeight="true" outlineLevel="0" collapsed="false">
      <c r="B9" s="31" t="s">
        <v>50</v>
      </c>
      <c r="C9" s="19" t="s">
        <v>51</v>
      </c>
      <c r="D9" s="36" t="n">
        <v>190</v>
      </c>
      <c r="E9" s="38" t="n">
        <v>180</v>
      </c>
      <c r="F9" s="38" t="n">
        <v>50</v>
      </c>
      <c r="G9" s="36" t="n">
        <v>55</v>
      </c>
      <c r="H9" s="37" t="n">
        <v>475</v>
      </c>
      <c r="I9" s="35" t="s">
        <v>82</v>
      </c>
    </row>
    <row r="10" customFormat="false" ht="18" hidden="false" customHeight="true" outlineLevel="0" collapsed="false">
      <c r="B10" s="31" t="s">
        <v>53</v>
      </c>
      <c r="C10" s="19" t="s">
        <v>51</v>
      </c>
      <c r="D10" s="36" t="n">
        <v>220</v>
      </c>
      <c r="E10" s="38" t="n">
        <v>90</v>
      </c>
      <c r="F10" s="38" t="n">
        <v>110</v>
      </c>
      <c r="G10" s="36" t="n">
        <v>70</v>
      </c>
      <c r="H10" s="37" t="n">
        <v>490</v>
      </c>
      <c r="I10" s="35" t="s">
        <v>82</v>
      </c>
    </row>
    <row r="11" customFormat="false" ht="18" hidden="false" customHeight="true" outlineLevel="0" collapsed="false">
      <c r="B11" s="30" t="s">
        <v>45</v>
      </c>
      <c r="C11" s="18" t="s">
        <v>46</v>
      </c>
      <c r="D11" s="36" t="n">
        <v>170</v>
      </c>
      <c r="E11" s="38" t="n">
        <v>110</v>
      </c>
      <c r="F11" s="38" t="n">
        <v>70</v>
      </c>
      <c r="G11" s="36" t="n">
        <v>45</v>
      </c>
      <c r="H11" s="37" t="n">
        <v>395</v>
      </c>
      <c r="I11" s="35" t="s">
        <v>82</v>
      </c>
    </row>
    <row r="12" customFormat="false" ht="18" hidden="false" customHeight="true" outlineLevel="0" collapsed="false">
      <c r="B12" s="26" t="s">
        <v>39</v>
      </c>
      <c r="C12" s="13" t="s">
        <v>37</v>
      </c>
      <c r="D12" s="36" t="n">
        <v>160</v>
      </c>
      <c r="E12" s="38" t="n">
        <v>95</v>
      </c>
      <c r="F12" s="38" t="n">
        <v>80</v>
      </c>
      <c r="G12" s="36" t="n">
        <v>35</v>
      </c>
      <c r="H12" s="37" t="n">
        <v>370</v>
      </c>
      <c r="I12" s="35" t="s">
        <v>82</v>
      </c>
    </row>
    <row r="13" customFormat="false" ht="18" hidden="false" customHeight="true" outlineLevel="0" collapsed="false">
      <c r="B13" s="26" t="s">
        <v>41</v>
      </c>
      <c r="C13" s="13" t="s">
        <v>37</v>
      </c>
      <c r="D13" s="36" t="n">
        <v>120</v>
      </c>
      <c r="E13" s="38" t="n">
        <v>60</v>
      </c>
      <c r="F13" s="38" t="n">
        <v>90</v>
      </c>
      <c r="G13" s="36" t="n">
        <v>25</v>
      </c>
      <c r="H13" s="37" t="n">
        <v>295</v>
      </c>
      <c r="I13" s="35" t="s">
        <v>82</v>
      </c>
    </row>
    <row r="14" customFormat="false" ht="18" hidden="false" customHeight="true" outlineLevel="0" collapsed="false">
      <c r="B14" s="31" t="s">
        <v>52</v>
      </c>
      <c r="C14" s="19" t="s">
        <v>51</v>
      </c>
      <c r="D14" s="36" t="n">
        <v>140</v>
      </c>
      <c r="E14" s="38" t="n">
        <v>75</v>
      </c>
      <c r="F14" s="38" t="n">
        <v>60</v>
      </c>
      <c r="G14" s="36" t="n">
        <v>40</v>
      </c>
      <c r="H14" s="37" t="n">
        <v>315</v>
      </c>
      <c r="I14" s="35" t="s">
        <v>82</v>
      </c>
    </row>
    <row r="15" customFormat="false" ht="18" hidden="false" customHeight="true" outlineLevel="0" collapsed="false">
      <c r="B15" s="26" t="s">
        <v>42</v>
      </c>
      <c r="C15" s="13" t="s">
        <v>37</v>
      </c>
      <c r="D15" s="36" t="n">
        <v>80</v>
      </c>
      <c r="E15" s="38" t="n">
        <v>55</v>
      </c>
      <c r="F15" s="38" t="n">
        <v>0</v>
      </c>
      <c r="G15" s="36" t="n">
        <v>20</v>
      </c>
      <c r="H15" s="37" t="n">
        <v>155</v>
      </c>
      <c r="I15" s="35" t="s">
        <v>82</v>
      </c>
    </row>
    <row r="16" customFormat="false" ht="18" hidden="false" customHeight="true" outlineLevel="0" collapsed="false">
      <c r="B16" s="30" t="s">
        <v>49</v>
      </c>
      <c r="C16" s="18" t="s">
        <v>46</v>
      </c>
      <c r="D16" s="36" t="n">
        <v>65</v>
      </c>
      <c r="E16" s="38" t="n">
        <v>45</v>
      </c>
      <c r="F16" s="38" t="n">
        <v>0</v>
      </c>
      <c r="G16" s="36" t="n">
        <v>18</v>
      </c>
      <c r="H16" s="37" t="n">
        <v>128</v>
      </c>
      <c r="I16" s="35" t="s">
        <v>82</v>
      </c>
    </row>
    <row r="17" customFormat="false" ht="18" hidden="false" customHeight="true" outlineLevel="0" collapsed="false">
      <c r="B17" s="26" t="s">
        <v>44</v>
      </c>
      <c r="C17" s="13" t="s">
        <v>37</v>
      </c>
      <c r="D17" s="36" t="n">
        <v>70</v>
      </c>
      <c r="E17" s="38" t="n">
        <v>40</v>
      </c>
      <c r="F17" s="38" t="n">
        <v>0</v>
      </c>
      <c r="G17" s="36" t="n">
        <v>15</v>
      </c>
      <c r="H17" s="37" t="n">
        <v>125</v>
      </c>
      <c r="I17" s="35" t="s">
        <v>82</v>
      </c>
    </row>
    <row r="18" customFormat="false" ht="18" hidden="false" customHeight="true" outlineLevel="0" collapsed="false">
      <c r="B18" s="12" t="s">
        <v>83</v>
      </c>
      <c r="C18" s="12" t="n">
        <f aca="false">SUM(D6:D17)</f>
        <v>1805</v>
      </c>
      <c r="D18" s="12" t="n">
        <f aca="false">SUM(E6:E17)</f>
        <v>1900</v>
      </c>
      <c r="E18" s="12" t="n">
        <f aca="false">SUM(F6:F17)</f>
        <v>980</v>
      </c>
      <c r="F18" s="12" t="n">
        <f aca="false">SUM(G6:G17)</f>
        <v>473</v>
      </c>
      <c r="G18" s="12" t="n">
        <f aca="false">SUM(H6:H17)</f>
        <v>5158</v>
      </c>
      <c r="H18" s="12"/>
      <c r="I18" s="12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9" min="5" style="0" width="16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9" t="s">
        <v>84</v>
      </c>
      <c r="C2" s="9"/>
      <c r="D2" s="9"/>
      <c r="E2" s="9"/>
      <c r="F2" s="9"/>
      <c r="G2" s="9"/>
      <c r="H2" s="9"/>
      <c r="I2" s="9"/>
    </row>
    <row r="3" customFormat="false" ht="19.5" hidden="false" customHeight="true" outlineLevel="0" collapsed="false">
      <c r="B3" s="10" t="s">
        <v>85</v>
      </c>
      <c r="C3" s="10"/>
      <c r="D3" s="10"/>
      <c r="E3" s="10"/>
      <c r="F3" s="10"/>
      <c r="G3" s="10"/>
      <c r="H3" s="10"/>
      <c r="I3" s="10"/>
    </row>
    <row r="5" customFormat="false" ht="36" hidden="false" customHeight="true" outlineLevel="0" collapsed="false">
      <c r="B5" s="12" t="s">
        <v>67</v>
      </c>
      <c r="C5" s="12" t="s">
        <v>29</v>
      </c>
      <c r="D5" s="12" t="s">
        <v>31</v>
      </c>
      <c r="E5" s="12" t="s">
        <v>86</v>
      </c>
      <c r="F5" s="12" t="s">
        <v>87</v>
      </c>
      <c r="G5" s="12" t="s">
        <v>88</v>
      </c>
      <c r="H5" s="12" t="s">
        <v>89</v>
      </c>
      <c r="I5" s="12" t="s">
        <v>90</v>
      </c>
      <c r="J5" s="12" t="s">
        <v>91</v>
      </c>
    </row>
    <row r="6" customFormat="false" ht="18" hidden="false" customHeight="true" outlineLevel="0" collapsed="false">
      <c r="B6" s="30" t="s">
        <v>47</v>
      </c>
      <c r="C6" s="18" t="s">
        <v>46</v>
      </c>
      <c r="D6" s="36" t="n">
        <v>120</v>
      </c>
      <c r="E6" s="36" t="n">
        <v>90</v>
      </c>
      <c r="F6" s="39" t="n">
        <v>399456</v>
      </c>
      <c r="G6" s="39" t="n">
        <v>359510.4</v>
      </c>
      <c r="H6" s="40" t="n">
        <v>35951040</v>
      </c>
      <c r="I6" s="40" t="n">
        <v>32355936</v>
      </c>
      <c r="J6" s="41" t="n">
        <v>-3595103.99999999</v>
      </c>
    </row>
    <row r="7" customFormat="false" ht="18" hidden="false" customHeight="true" outlineLevel="0" collapsed="false">
      <c r="B7" s="26" t="s">
        <v>36</v>
      </c>
      <c r="C7" s="13" t="s">
        <v>37</v>
      </c>
      <c r="D7" s="36" t="n">
        <v>45</v>
      </c>
      <c r="E7" s="36" t="n">
        <v>87.4</v>
      </c>
      <c r="F7" s="39" t="n">
        <v>90666</v>
      </c>
      <c r="G7" s="39" t="n">
        <v>73321.2</v>
      </c>
      <c r="H7" s="40" t="n">
        <v>7924208.4</v>
      </c>
      <c r="I7" s="40" t="n">
        <v>6408272.88</v>
      </c>
      <c r="J7" s="41" t="n">
        <v>-1515935.52</v>
      </c>
    </row>
    <row r="8" customFormat="false" ht="18" hidden="false" customHeight="true" outlineLevel="0" collapsed="false">
      <c r="B8" s="26" t="s">
        <v>40</v>
      </c>
      <c r="C8" s="13" t="s">
        <v>37</v>
      </c>
      <c r="D8" s="36" t="n">
        <v>30</v>
      </c>
      <c r="E8" s="36" t="n">
        <v>87.4</v>
      </c>
      <c r="F8" s="39" t="n">
        <v>60444</v>
      </c>
      <c r="G8" s="39" t="n">
        <v>48355.2</v>
      </c>
      <c r="H8" s="40" t="n">
        <v>5282805.6</v>
      </c>
      <c r="I8" s="40" t="n">
        <v>4226244.48</v>
      </c>
      <c r="J8" s="41" t="n">
        <v>-1056561.12</v>
      </c>
    </row>
    <row r="9" customFormat="false" ht="18" hidden="false" customHeight="true" outlineLevel="0" collapsed="false">
      <c r="B9" s="31" t="s">
        <v>50</v>
      </c>
      <c r="C9" s="19" t="s">
        <v>51</v>
      </c>
      <c r="D9" s="36" t="n">
        <v>70</v>
      </c>
      <c r="E9" s="36" t="n">
        <v>82.8</v>
      </c>
      <c r="F9" s="39" t="n">
        <v>177828</v>
      </c>
      <c r="G9" s="39" t="n">
        <v>166177.2</v>
      </c>
      <c r="H9" s="40" t="n">
        <v>14724158.4</v>
      </c>
      <c r="I9" s="40" t="n">
        <v>13759472.16</v>
      </c>
      <c r="J9" s="41" t="n">
        <v>-964686.239999997</v>
      </c>
    </row>
    <row r="10" customFormat="false" ht="18" hidden="false" customHeight="true" outlineLevel="0" collapsed="false">
      <c r="B10" s="30" t="s">
        <v>45</v>
      </c>
      <c r="C10" s="18" t="s">
        <v>46</v>
      </c>
      <c r="D10" s="36" t="n">
        <v>55</v>
      </c>
      <c r="E10" s="36" t="n">
        <v>92</v>
      </c>
      <c r="F10" s="39" t="n">
        <v>125268</v>
      </c>
      <c r="G10" s="39" t="n">
        <v>118522.8</v>
      </c>
      <c r="H10" s="40" t="n">
        <v>11524656</v>
      </c>
      <c r="I10" s="40" t="n">
        <v>10904097.6</v>
      </c>
      <c r="J10" s="41" t="n">
        <v>-620558.4</v>
      </c>
    </row>
    <row r="11" customFormat="false" ht="18" hidden="false" customHeight="true" outlineLevel="0" collapsed="false">
      <c r="B11" s="26" t="s">
        <v>39</v>
      </c>
      <c r="C11" s="13" t="s">
        <v>37</v>
      </c>
      <c r="D11" s="36" t="n">
        <v>60</v>
      </c>
      <c r="E11" s="36" t="n">
        <v>87.4</v>
      </c>
      <c r="F11" s="39" t="n">
        <v>120888</v>
      </c>
      <c r="G11" s="39" t="n">
        <v>117208.8</v>
      </c>
      <c r="H11" s="40" t="n">
        <v>10565611.2</v>
      </c>
      <c r="I11" s="40" t="n">
        <v>10244049.12</v>
      </c>
      <c r="J11" s="41" t="n">
        <v>-321562.08</v>
      </c>
    </row>
    <row r="12" customFormat="false" ht="18" hidden="false" customHeight="true" outlineLevel="0" collapsed="false">
      <c r="B12" s="26" t="s">
        <v>42</v>
      </c>
      <c r="C12" s="13" t="s">
        <v>37</v>
      </c>
      <c r="D12" s="36" t="n">
        <v>25</v>
      </c>
      <c r="E12" s="36" t="n">
        <v>80.75</v>
      </c>
      <c r="F12" s="39" t="n">
        <v>24090</v>
      </c>
      <c r="G12" s="39" t="n">
        <v>21462</v>
      </c>
      <c r="H12" s="40" t="n">
        <v>1945267.5</v>
      </c>
      <c r="I12" s="40" t="n">
        <v>1733056.5</v>
      </c>
      <c r="J12" s="41" t="n">
        <v>-212211</v>
      </c>
    </row>
    <row r="13" customFormat="false" ht="18" hidden="false" customHeight="true" outlineLevel="0" collapsed="false">
      <c r="B13" s="30" t="s">
        <v>49</v>
      </c>
      <c r="C13" s="18" t="s">
        <v>46</v>
      </c>
      <c r="D13" s="36" t="n">
        <v>40</v>
      </c>
      <c r="E13" s="36" t="n">
        <v>85</v>
      </c>
      <c r="F13" s="39" t="n">
        <v>38544</v>
      </c>
      <c r="G13" s="39" t="n">
        <v>36441.6</v>
      </c>
      <c r="H13" s="40" t="n">
        <v>3276240</v>
      </c>
      <c r="I13" s="40" t="n">
        <v>3097536</v>
      </c>
      <c r="J13" s="41" t="n">
        <v>-178704</v>
      </c>
    </row>
    <row r="14" customFormat="false" ht="18" hidden="false" customHeight="true" outlineLevel="0" collapsed="false">
      <c r="B14" s="26" t="s">
        <v>44</v>
      </c>
      <c r="C14" s="13" t="s">
        <v>37</v>
      </c>
      <c r="D14" s="36" t="n">
        <v>35</v>
      </c>
      <c r="E14" s="36" t="n">
        <v>80.75</v>
      </c>
      <c r="F14" s="39" t="n">
        <v>33726</v>
      </c>
      <c r="G14" s="39" t="n">
        <v>31886.4</v>
      </c>
      <c r="H14" s="40" t="n">
        <v>2723374.5</v>
      </c>
      <c r="I14" s="40" t="n">
        <v>2574826.8</v>
      </c>
      <c r="J14" s="41" t="n">
        <v>-148547.7</v>
      </c>
    </row>
    <row r="15" customFormat="false" ht="18" hidden="false" customHeight="true" outlineLevel="0" collapsed="false">
      <c r="B15" s="31" t="s">
        <v>52</v>
      </c>
      <c r="C15" s="19" t="s">
        <v>51</v>
      </c>
      <c r="D15" s="36" t="n">
        <v>50</v>
      </c>
      <c r="E15" s="36" t="n">
        <v>82.8</v>
      </c>
      <c r="F15" s="39" t="n">
        <v>127020</v>
      </c>
      <c r="G15" s="39" t="n">
        <v>129648</v>
      </c>
      <c r="H15" s="40" t="n">
        <v>10517256</v>
      </c>
      <c r="I15" s="40" t="n">
        <v>10734854.4</v>
      </c>
      <c r="J15" s="42" t="n">
        <v>217598.4</v>
      </c>
    </row>
    <row r="16" customFormat="false" ht="18" hidden="false" customHeight="true" outlineLevel="0" collapsed="false">
      <c r="B16" s="26" t="s">
        <v>41</v>
      </c>
      <c r="C16" s="13" t="s">
        <v>37</v>
      </c>
      <c r="D16" s="36" t="n">
        <v>50</v>
      </c>
      <c r="E16" s="36" t="n">
        <v>87.4</v>
      </c>
      <c r="F16" s="39" t="n">
        <v>100740</v>
      </c>
      <c r="G16" s="39" t="n">
        <v>103806</v>
      </c>
      <c r="H16" s="40" t="n">
        <v>8804676</v>
      </c>
      <c r="I16" s="40" t="n">
        <v>9072644.4</v>
      </c>
      <c r="J16" s="42" t="n">
        <v>267968.4</v>
      </c>
    </row>
    <row r="17" customFormat="false" ht="18" hidden="false" customHeight="true" outlineLevel="0" collapsed="false">
      <c r="B17" s="31" t="s">
        <v>53</v>
      </c>
      <c r="C17" s="19" t="s">
        <v>51</v>
      </c>
      <c r="D17" s="36" t="n">
        <v>150</v>
      </c>
      <c r="E17" s="36" t="n">
        <v>81</v>
      </c>
      <c r="F17" s="39" t="n">
        <v>525600</v>
      </c>
      <c r="G17" s="39" t="n">
        <v>551880</v>
      </c>
      <c r="H17" s="40" t="n">
        <v>42573600</v>
      </c>
      <c r="I17" s="40" t="n">
        <v>44702280</v>
      </c>
      <c r="J17" s="42" t="n">
        <v>2128680</v>
      </c>
    </row>
    <row r="18" customFormat="false" ht="18" hidden="false" customHeight="true" outlineLevel="0" collapsed="false">
      <c r="B18" s="12" t="s">
        <v>83</v>
      </c>
      <c r="C18" s="12"/>
      <c r="D18" s="12"/>
      <c r="E18" s="12"/>
      <c r="F18" s="20" t="n">
        <f aca="false">SUM(G6:G17)</f>
        <v>1758219.6</v>
      </c>
      <c r="G18" s="20" t="n">
        <f aca="false">SUM(H6:H17)</f>
        <v>155812893.6</v>
      </c>
      <c r="H18" s="43" t="n">
        <f aca="false">SUM(I6:I17)</f>
        <v>149813270.34</v>
      </c>
      <c r="I18" s="43" t="n">
        <f aca="false">SUM(J6:J17)</f>
        <v>-5999623.25999999</v>
      </c>
      <c r="J18" s="12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7" min="7" style="0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44" t="s">
        <v>92</v>
      </c>
      <c r="C2" s="44"/>
      <c r="D2" s="44"/>
      <c r="E2" s="44"/>
      <c r="F2" s="44"/>
    </row>
    <row r="3" customFormat="false" ht="15.75" hidden="false" customHeight="true" outlineLevel="0" collapsed="false">
      <c r="B3" s="45" t="s">
        <v>93</v>
      </c>
      <c r="C3" s="45"/>
      <c r="D3" s="45"/>
      <c r="E3" s="45"/>
      <c r="F3" s="45"/>
    </row>
    <row r="5" customFormat="false" ht="13.5" hidden="false" customHeight="true" outlineLevel="0" collapsed="false">
      <c r="B5" s="11" t="s">
        <v>94</v>
      </c>
      <c r="C5" s="3"/>
      <c r="D5" s="3"/>
      <c r="E5" s="3"/>
      <c r="F5" s="3"/>
    </row>
    <row r="6" customFormat="false" ht="13.5" hidden="false" customHeight="true" outlineLevel="0" collapsed="false"/>
    <row r="7" customFormat="false" ht="27.75" hidden="false" customHeight="true" outlineLevel="0" collapsed="false">
      <c r="B7" s="46" t="s">
        <v>95</v>
      </c>
      <c r="C7" s="46" t="s">
        <v>96</v>
      </c>
      <c r="D7" s="47" t="s">
        <v>97</v>
      </c>
      <c r="E7" s="47" t="s">
        <v>98</v>
      </c>
    </row>
    <row r="8" customFormat="false" ht="18" hidden="false" customHeight="true" outlineLevel="0" collapsed="false">
      <c r="B8" s="48" t="s">
        <v>99</v>
      </c>
      <c r="C8" s="48" t="s">
        <v>100</v>
      </c>
      <c r="D8" s="49" t="s">
        <v>101</v>
      </c>
      <c r="E8" s="49" t="s">
        <v>102</v>
      </c>
    </row>
    <row r="9" customFormat="false" ht="15.75" hidden="false" customHeight="true" outlineLevel="0" collapsed="false">
      <c r="B9" s="50" t="s">
        <v>103</v>
      </c>
      <c r="C9" s="50" t="s">
        <v>104</v>
      </c>
      <c r="D9" s="51" t="s">
        <v>105</v>
      </c>
      <c r="E9" s="51" t="s">
        <v>106</v>
      </c>
    </row>
    <row r="11" customFormat="false" ht="13.5" hidden="false" customHeight="true" outlineLevel="0" collapsed="false">
      <c r="B11" s="11" t="s">
        <v>107</v>
      </c>
      <c r="C11" s="3"/>
      <c r="D11" s="3"/>
      <c r="E11" s="3"/>
      <c r="F11" s="3"/>
    </row>
    <row r="12" customFormat="false" ht="21.75" hidden="false" customHeight="true" outlineLevel="0" collapsed="false">
      <c r="B12" s="52" t="s">
        <v>108</v>
      </c>
      <c r="C12" s="53" t="s">
        <v>109</v>
      </c>
      <c r="D12" s="53"/>
      <c r="E12" s="53"/>
      <c r="F12" s="53"/>
    </row>
    <row r="13" customFormat="false" ht="21.75" hidden="false" customHeight="true" outlineLevel="0" collapsed="false">
      <c r="B13" s="52" t="s">
        <v>110</v>
      </c>
      <c r="C13" s="53" t="s">
        <v>111</v>
      </c>
      <c r="D13" s="53"/>
      <c r="E13" s="53"/>
      <c r="F13" s="53"/>
    </row>
    <row r="14" customFormat="false" ht="21.75" hidden="false" customHeight="true" outlineLevel="0" collapsed="false">
      <c r="B14" s="54" t="s">
        <v>112</v>
      </c>
      <c r="C14" s="55" t="s">
        <v>113</v>
      </c>
      <c r="D14" s="55"/>
      <c r="E14" s="55"/>
      <c r="F14" s="55"/>
    </row>
    <row r="15" customFormat="false" ht="21.75" hidden="false" customHeight="true" outlineLevel="0" collapsed="false">
      <c r="B15" s="56" t="s">
        <v>114</v>
      </c>
      <c r="C15" s="57" t="s">
        <v>115</v>
      </c>
      <c r="D15" s="57"/>
      <c r="E15" s="57"/>
      <c r="F15" s="57"/>
    </row>
    <row r="17" customFormat="false" ht="13.5" hidden="false" customHeight="true" outlineLevel="0" collapsed="false">
      <c r="B17" s="11" t="s">
        <v>116</v>
      </c>
      <c r="C17" s="3"/>
      <c r="D17" s="3"/>
      <c r="E17" s="3"/>
      <c r="F17" s="3"/>
    </row>
    <row r="18" customFormat="false" ht="19.5" hidden="false" customHeight="true" outlineLevel="0" collapsed="false">
      <c r="B18" s="52" t="s">
        <v>117</v>
      </c>
      <c r="C18" s="58" t="s">
        <v>118</v>
      </c>
      <c r="D18" s="58"/>
      <c r="E18" s="58"/>
      <c r="F18" s="58"/>
    </row>
    <row r="19" customFormat="false" ht="19.5" hidden="false" customHeight="true" outlineLevel="0" collapsed="false">
      <c r="B19" s="54" t="s">
        <v>119</v>
      </c>
      <c r="C19" s="59" t="s">
        <v>120</v>
      </c>
      <c r="D19" s="59"/>
      <c r="E19" s="59"/>
      <c r="F19" s="59"/>
    </row>
    <row r="20" customFormat="false" ht="19.5" hidden="false" customHeight="true" outlineLevel="0" collapsed="false">
      <c r="B20" s="60" t="s">
        <v>121</v>
      </c>
      <c r="C20" s="61" t="s">
        <v>122</v>
      </c>
      <c r="D20" s="61"/>
      <c r="E20" s="61"/>
      <c r="F20" s="61"/>
    </row>
    <row r="21" customFormat="false" ht="19.5" hidden="false" customHeight="true" outlineLevel="0" collapsed="false">
      <c r="B21" s="56" t="s">
        <v>123</v>
      </c>
      <c r="C21" s="62" t="s">
        <v>124</v>
      </c>
      <c r="D21" s="62"/>
      <c r="E21" s="62"/>
      <c r="F21" s="62"/>
    </row>
  </sheetData>
  <mergeCells count="10">
    <mergeCell ref="B2:F2"/>
    <mergeCell ref="B3:F3"/>
    <mergeCell ref="C12:F12"/>
    <mergeCell ref="C13:F13"/>
    <mergeCell ref="C14:F14"/>
    <mergeCell ref="C15:F15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2026-04-24T18:42:36Z</dcterms:created>
  <dc:creator>openpyxl</dc:creator>
  <dc:description/>
  <dc:language>en-US</dc:language>
  <cp:lastModifiedBy/>
  <dcterms:modified xsi:type="dcterms:W3CDTF">2026-04-24T18:43:56Z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