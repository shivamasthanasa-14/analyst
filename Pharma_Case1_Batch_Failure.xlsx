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ta_Assumptions" sheetId="2" state="visible" r:id="rId4"/>
    <sheet name="Analysis_1_Modes" sheetId="3" state="visible" r:id="rId5"/>
    <sheet name="Analysis_2_Shift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<sst xmlns="http://schemas.openxmlformats.org/spreadsheetml/2006/main" count="440" uniqueCount="193">
  <si>
    <t xml:space="preserve">Why Is This Batch Failing?</t>
  </si>
  <si>
    <t xml:space="preserve">Root Cause Analysis of 12% Batch Failure Rate at a GMP-Certified Manufacturer</t>
  </si>
  <si>
    <t xml:space="preserve">Sector: Pharma &amp; Life Sciences · Manufacturing Quality   |   Case: Pharma Case 01 of 04   |   Business Analyst Portfolio</t>
  </si>
  <si>
    <t xml:space="preserve">Sheet</t>
  </si>
  <si>
    <t xml:space="preserve">Contents</t>
  </si>
  <si>
    <t xml:space="preserve">Cover</t>
  </si>
  <si>
    <t xml:space="preserve">Case overview, navigation, key outputs</t>
  </si>
  <si>
    <t xml:space="preserve">Data_Assumptions</t>
  </si>
  <si>
    <t xml:space="preserve">Raw batch data, failure classifications, benchmark references</t>
  </si>
  <si>
    <t xml:space="preserve">Analysis_1_Modes</t>
  </si>
  <si>
    <t xml:space="preserve">Failure mode frequency analysis — PDA TR54 classification</t>
  </si>
  <si>
    <t xml:space="preserve">Analysis_2_Shift</t>
  </si>
  <si>
    <t xml:space="preserve">Shift × equipment age cross-tabulation and failure rate matrix</t>
  </si>
  <si>
    <t xml:space="preserve">Dashboard</t>
  </si>
  <si>
    <t xml:space="preserve">KPI summary, root cause RPN ranking, executive findings</t>
  </si>
  <si>
    <t xml:space="preserve">KEY OUTPUTS</t>
  </si>
  <si>
    <t xml:space="preserve">Overall batch failure rate</t>
  </si>
  <si>
    <t xml:space="preserve">12.0%</t>
  </si>
  <si>
    <t xml:space="preserve">Industry benchmark (solid oral)</t>
  </si>
  <si>
    <t xml:space="preserve">3–4%</t>
  </si>
  <si>
    <t xml:space="preserve">Excess failures above benchmark</t>
  </si>
  <si>
    <t xml:space="preserve">~32</t>
  </si>
  <si>
    <t xml:space="preserve">Root cause #1 — RPN</t>
  </si>
  <si>
    <t xml:space="preserve">336</t>
  </si>
  <si>
    <t xml:space="preserve">Root cause</t>
  </si>
  <si>
    <t xml:space="preserve">PM interval overruns</t>
  </si>
  <si>
    <t xml:space="preserve">Expected failure rate reduction</t>
  </si>
  <si>
    <t xml:space="preserve">3–4 pp</t>
  </si>
  <si>
    <t xml:space="preserve">Sources: EMA GMP Compliance Reports 2022–2023; ICH Q9; PDA Technical Report No. 54</t>
  </si>
  <si>
    <t xml:space="preserve">Data &amp; Assumptions</t>
  </si>
  <si>
    <t xml:space="preserve">Batch records, failure classifications, benchmark references</t>
  </si>
  <si>
    <t xml:space="preserve">Sector: Pharma &amp; Life Sciences   |   Case: Pharma Case 01 — Manufacturing Quality   |   Business Analyst Portfolio</t>
  </si>
  <si>
    <t xml:space="preserve">BATCH RECORD DATA — SUITES A &amp; B (18-Month Period)</t>
  </si>
  <si>
    <t xml:space="preserve">Batch ID</t>
  </si>
  <si>
    <t xml:space="preserve">Suite</t>
  </si>
  <si>
    <t xml:space="preserve">Product Type</t>
  </si>
  <si>
    <t xml:space="preserve">Failure Mode</t>
  </si>
  <si>
    <t xml:space="preserve">Shift</t>
  </si>
  <si>
    <t xml:space="preserve">Equip. Age Quartile</t>
  </si>
  <si>
    <t xml:space="preserve">Days Since PM</t>
  </si>
  <si>
    <t xml:space="preserve">Pass/Fail</t>
  </si>
  <si>
    <t xml:space="preserve">A-1001</t>
  </si>
  <si>
    <t xml:space="preserve">Suite A</t>
  </si>
  <si>
    <t xml:space="preserve">Tablets</t>
  </si>
  <si>
    <t xml:space="preserve">—</t>
  </si>
  <si>
    <t xml:space="preserve">Afternoon</t>
  </si>
  <si>
    <t xml:space="preserve">Q1</t>
  </si>
  <si>
    <t xml:space="preserve">PASS</t>
  </si>
  <si>
    <t xml:space="preserve">A-1002</t>
  </si>
  <si>
    <t xml:space="preserve">Content Uniformity</t>
  </si>
  <si>
    <t xml:space="preserve">Night</t>
  </si>
  <si>
    <t xml:space="preserve">Q3</t>
  </si>
  <si>
    <t xml:space="preserve">FAIL</t>
  </si>
  <si>
    <t xml:space="preserve">A-1003</t>
  </si>
  <si>
    <t xml:space="preserve">Morning</t>
  </si>
  <si>
    <t xml:space="preserve">A-1004</t>
  </si>
  <si>
    <t xml:space="preserve">Q2</t>
  </si>
  <si>
    <t xml:space="preserve">A-1005</t>
  </si>
  <si>
    <t xml:space="preserve">A-1006</t>
  </si>
  <si>
    <t xml:space="preserve">A-1007</t>
  </si>
  <si>
    <t xml:space="preserve">A-1008</t>
  </si>
  <si>
    <t xml:space="preserve">A-1009</t>
  </si>
  <si>
    <t xml:space="preserve">A-1010</t>
  </si>
  <si>
    <t xml:space="preserve">A-1011</t>
  </si>
  <si>
    <t xml:space="preserve">A-1012</t>
  </si>
  <si>
    <t xml:space="preserve">A-1013</t>
  </si>
  <si>
    <t xml:space="preserve">A-1014</t>
  </si>
  <si>
    <t xml:space="preserve">A-1015</t>
  </si>
  <si>
    <t xml:space="preserve">Q4</t>
  </si>
  <si>
    <t xml:space="preserve">A-1016</t>
  </si>
  <si>
    <t xml:space="preserve">A-1017</t>
  </si>
  <si>
    <t xml:space="preserve">A-1018</t>
  </si>
  <si>
    <t xml:space="preserve">A-1019</t>
  </si>
  <si>
    <t xml:space="preserve">A-1020</t>
  </si>
  <si>
    <t xml:space="preserve">A-1021</t>
  </si>
  <si>
    <t xml:space="preserve">A-1022</t>
  </si>
  <si>
    <t xml:space="preserve">A-1023</t>
  </si>
  <si>
    <t xml:space="preserve">A-1024</t>
  </si>
  <si>
    <t xml:space="preserve">A-1025</t>
  </si>
  <si>
    <t xml:space="preserve">A-1026</t>
  </si>
  <si>
    <t xml:space="preserve">A-1027</t>
  </si>
  <si>
    <t xml:space="preserve">A-1028</t>
  </si>
  <si>
    <t xml:space="preserve">A-1029</t>
  </si>
  <si>
    <t xml:space="preserve">A-1030</t>
  </si>
  <si>
    <t xml:space="preserve">A-1031</t>
  </si>
  <si>
    <t xml:space="preserve">A-1032</t>
  </si>
  <si>
    <t xml:space="preserve">A-1033</t>
  </si>
  <si>
    <t xml:space="preserve">A-1034</t>
  </si>
  <si>
    <t xml:space="preserve">A-1035</t>
  </si>
  <si>
    <t xml:space="preserve">A-1036</t>
  </si>
  <si>
    <t xml:space="preserve">A-1037</t>
  </si>
  <si>
    <t xml:space="preserve">A-1038</t>
  </si>
  <si>
    <t xml:space="preserve">A-1039</t>
  </si>
  <si>
    <t xml:space="preserve">A-1040</t>
  </si>
  <si>
    <t xml:space="preserve">... (rows 41–310 truncated — full dataset: 310 batch records across Suites A &amp; B)</t>
  </si>
  <si>
    <t xml:space="preserve">KEY ASSUMPTIONS &amp; BENCHMARKS</t>
  </si>
  <si>
    <t xml:space="preserve">Industry benchmark failure rate — solid oral</t>
  </si>
  <si>
    <t xml:space="preserve">EMA GMP Compliance Report 2022–23</t>
  </si>
  <si>
    <t xml:space="preserve">Unplanned mechanical downtime benchmark</t>
  </si>
  <si>
    <t xml:space="preserve">263 hrs/yr</t>
  </si>
  <si>
    <t xml:space="preserve">WindEurope O&amp;M Report (by analogy, PDA TR54)</t>
  </si>
  <si>
    <t xml:space="preserve">PM schedule interval (contractual)</t>
  </si>
  <si>
    <t xml:space="preserve">90 days</t>
  </si>
  <si>
    <t xml:space="preserve">Internal site SOP</t>
  </si>
  <si>
    <t xml:space="preserve">ICH Q9 FMEA severity scale</t>
  </si>
  <si>
    <t xml:space="preserve">1–10</t>
  </si>
  <si>
    <t xml:space="preserve">ICH Q9 Quality Risk Management</t>
  </si>
  <si>
    <t xml:space="preserve">ICH Q9 FMEA occurrence scale</t>
  </si>
  <si>
    <t xml:space="preserve">ICH Q9 FMEA detectability scale</t>
  </si>
  <si>
    <t xml:space="preserve">RPN threshold for action</t>
  </si>
  <si>
    <t xml:space="preserve">&gt;100</t>
  </si>
  <si>
    <t xml:space="preserve">Industry convention per ICH Q9</t>
  </si>
  <si>
    <t xml:space="preserve">Analysis 1 — Failure Mode Distribution</t>
  </si>
  <si>
    <t xml:space="preserve">Reclassification of deviation reports into PDA TR54 standardised categories</t>
  </si>
  <si>
    <t xml:space="preserve">Sector: Pharma &amp; Life Sciences   |   Case: Pharma Case 01 — Step 1   |   Business Analyst Portfolio</t>
  </si>
  <si>
    <t xml:space="preserve">FAILURE MODE FREQUENCY — SUITES A &amp; B COMBINED (47 failures)</t>
  </si>
  <si>
    <t xml:space="preserve">Failure Mode (PDA TR54)</t>
  </si>
  <si>
    <t xml:space="preserve">Failure Count</t>
  </si>
  <si>
    <t xml:space="preserve">% of Total Failures</t>
  </si>
  <si>
    <t xml:space="preserve">Industry Expected %</t>
  </si>
  <si>
    <t xml:space="preserve">Deviation from Expected</t>
  </si>
  <si>
    <t xml:space="preserve">20–25%</t>
  </si>
  <si>
    <t xml:space="preserve">Dissolution / Release</t>
  </si>
  <si>
    <t xml:space="preserve">15–20%</t>
  </si>
  <si>
    <t xml:space="preserve">Physical Attributes</t>
  </si>
  <si>
    <t xml:space="preserve">40–50%</t>
  </si>
  <si>
    <t xml:space="preserve">Microbiological / Environmental</t>
  </si>
  <si>
    <t xml:space="preserve">10–15%</t>
  </si>
  <si>
    <t xml:space="preserve">Total</t>
  </si>
  <si>
    <t xml:space="preserve">KEY FINDING</t>
  </si>
  <si>
    <t xml:space="preserve">Content uniformity + dissolution failures = 79% of total. Both relate directly to the granulation / blending process. Physical attribute failures are within expected range. Microbiological failures are minimal. The failure signature points clearly at the granulation process in Suite A.</t>
  </si>
  <si>
    <t xml:space="preserve">Analysis 2 — Shift, Equipment Age &amp; PM Interval</t>
  </si>
  <si>
    <t xml:space="preserve">Failure rate cross-tabulation by shift and equipment age quartile; PM overrun analysis</t>
  </si>
  <si>
    <t xml:space="preserve">Sector: Pharma &amp; Life Sciences   |   Case: Pharma Case 01 — Steps 2 &amp; 3   |   Business Analyst Portfolio</t>
  </si>
  <si>
    <t xml:space="preserve">FAILURE RATE BY SHIFT × EQUIPMENT AGE QUARTILE (%)</t>
  </si>
  <si>
    <t xml:space="preserve">Shift / Age Quartile</t>
  </si>
  <si>
    <t xml:space="preserve">Q1 (Newest)</t>
  </si>
  <si>
    <t xml:space="preserve">Q4 (Oldest)</t>
  </si>
  <si>
    <t xml:space="preserve">Shift Average</t>
  </si>
  <si>
    <t xml:space="preserve">Morning Shift</t>
  </si>
  <si>
    <t xml:space="preserve">Afternoon Shift</t>
  </si>
  <si>
    <t xml:space="preserve">Night Shift</t>
  </si>
  <si>
    <t xml:space="preserve">Quartile Average</t>
  </si>
  <si>
    <t xml:space="preserve">FAILURE RATE BY DAYS SINCE LAST PM SERVICE</t>
  </si>
  <si>
    <t xml:space="preserve">Failure Rate (%)</t>
  </si>
  <si>
    <t xml:space="preserve">Benchmark Rate (%)</t>
  </si>
  <si>
    <t xml:space="preserve">Variance</t>
  </si>
  <si>
    <t xml:space="preserve">0–30 days</t>
  </si>
  <si>
    <t xml:space="preserve">31–60 days</t>
  </si>
  <si>
    <t xml:space="preserve">61–90 days</t>
  </si>
  <si>
    <t xml:space="preserve">91–120 days</t>
  </si>
  <si>
    <t xml:space="preserve">&gt;120 days</t>
  </si>
  <si>
    <t xml:space="preserve">FMEA ROOT CAUSE RANKING (ICH Q9)</t>
  </si>
  <si>
    <t xml:space="preserve">Root Cause</t>
  </si>
  <si>
    <t xml:space="preserve">Severity (1-10)</t>
  </si>
  <si>
    <t xml:space="preserve">Occurrence (1-10)</t>
  </si>
  <si>
    <t xml:space="preserve">Detectability (1-10)</t>
  </si>
  <si>
    <t xml:space="preserve">RPN (S×O×D)</t>
  </si>
  <si>
    <t xml:space="preserve">Priority</t>
  </si>
  <si>
    <t xml:space="preserve">PM Interval Overruns</t>
  </si>
  <si>
    <t xml:space="preserve">CRITICAL</t>
  </si>
  <si>
    <t xml:space="preserve">Night Shift Quality Gap</t>
  </si>
  <si>
    <t xml:space="preserve">HIGH</t>
  </si>
  <si>
    <t xml:space="preserve">Equipment Age (Amplifier)</t>
  </si>
  <si>
    <t xml:space="preserve">MEDIUM</t>
  </si>
  <si>
    <t xml:space="preserve">Raw Material Variability</t>
  </si>
  <si>
    <t xml:space="preserve">LOW</t>
  </si>
  <si>
    <t xml:space="preserve">Dashboard — Batch Failure Root Cause Analysis</t>
  </si>
  <si>
    <t xml:space="preserve">Executive summary: KPIs, root cause ranking, key findings</t>
  </si>
  <si>
    <t xml:space="preserve">Sector: GMP Manufacturing · Germany   |   Case: Pharma Case 01 · Pharma &amp; Life Sciences   |   Business Analyst Portfolio</t>
  </si>
  <si>
    <t xml:space="preserve">KEY PERFORMANCE INDICATORS</t>
  </si>
  <si>
    <t xml:space="preserve">Overall Failure Rate</t>
  </si>
  <si>
    <t xml:space="preserve">Industry Benchmark</t>
  </si>
  <si>
    <t xml:space="preserve">Excess Failures (vs benchmark)</t>
  </si>
  <si>
    <t xml:space="preserve">~32 batches</t>
  </si>
  <si>
    <t xml:space="preserve">Worst Suite</t>
  </si>
  <si>
    <t xml:space="preserve">Suite A · 14.3%</t>
  </si>
  <si>
    <t xml:space="preserve">Highest RPN</t>
  </si>
  <si>
    <t xml:space="preserve">336 (PM Overruns)</t>
  </si>
  <si>
    <t xml:space="preserve">PM Overrun Failure Rate</t>
  </si>
  <si>
    <t xml:space="preserve">24%</t>
  </si>
  <si>
    <t xml:space="preserve">ROOT CAUSE SUMMARY</t>
  </si>
  <si>
    <t xml:space="preserve">RPN</t>
  </si>
  <si>
    <t xml:space="preserve">Recommended Action</t>
  </si>
  <si>
    <t xml:space="preserve">Halt batches on overdue equipment immediately</t>
  </si>
  <si>
    <t xml:space="preserve">Investigate supervision &amp; training gap</t>
  </si>
  <si>
    <t xml:space="preserve">Equipment Age</t>
  </si>
  <si>
    <t xml:space="preserve">Capital plan for granulator replacement</t>
  </si>
  <si>
    <t xml:space="preserve">Supplier quality investigation</t>
  </si>
  <si>
    <t xml:space="preserve">LINKED ANALYSIS SHEETS</t>
  </si>
  <si>
    <t xml:space="preserve">→ Data_Assumptions</t>
  </si>
  <si>
    <t xml:space="preserve">→ Analysis_1_Modes</t>
  </si>
  <si>
    <t xml:space="preserve">→ Analysis_2_Shift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</si>
</sst>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+0.0%;\-0.0%;0.0%"/>
    <numFmt numFmtId="167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F6E"/>
      <name val="Arial"/>
      <family val="0"/>
      <charset val="1"/>
    </font>
    <font>
      <i val="true"/>
      <sz val="11"/>
      <color rgb="FF6B6860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3F6E"/>
      <name val="Arial"/>
      <family val="0"/>
      <charset val="1"/>
    </font>
    <font>
      <sz val="10"/>
      <color rgb="FF6B6860"/>
      <name val="Arial"/>
      <family val="0"/>
      <charset val="1"/>
    </font>
    <font>
      <b val="true"/>
      <sz val="9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9"/>
      <color rgb="FF2E7D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sz val="10"/>
      <color rgb="FF181818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2E7D55"/>
      <name val="Arial"/>
      <family val="0"/>
      <charset val="1"/>
    </font>
    <font>
      <b val="true"/>
      <sz val="10"/>
      <color rgb="FF18181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18181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C07A1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181818"/>
      <name val="Arial"/>
      <family val="0"/>
      <charset val="1"/>
    </font>
    <font>
      <sz val="10"/>
      <color rgb="FF1C3F6E"/>
      <name val="Arial"/>
      <family val="0"/>
      <charset val="1"/>
    </font>
    <font>
      <b val="true"/>
      <sz val="10"/>
      <color rgb="FFC07A1A"/>
      <name val="Arial"/>
      <family val="0"/>
      <charset val="1"/>
    </font>
    <font>
      <b val="true"/>
      <sz val="9"/>
      <color rgb="FFC07A1A"/>
      <name val="Arial"/>
      <family val="0"/>
      <charset val="1"/>
    </font>
    <font>
      <b val="true"/>
      <sz val="9"/>
      <color rgb="FF6B686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2E7D55"/>
      <name val="Arial"/>
      <family val="0"/>
      <charset val="1"/>
    </font>
    <font>
      <b val="true"/>
      <sz val="11"/>
      <color rgb="FFC07A1A"/>
      <name val="Arial"/>
      <family val="0"/>
      <charset val="1"/>
    </font>
    <font>
      <sz val="9"/>
      <color rgb="FF1C3F6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EBF0F8"/>
        <bgColor rgb="FFF5F4F0"/>
      </patternFill>
    </fill>
    <fill>
      <patternFill patternType="solid">
        <fgColor rgb="FFF5F4F0"/>
        <bgColor rgb="FFF9F9F9"/>
      </patternFill>
    </fill>
    <fill>
      <patternFill patternType="solid">
        <fgColor rgb="FFFFFFFF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/>
      <right/>
      <top/>
      <bottom style="thin">
        <color rgb="FFD0CEC6"/>
      </bottom>
      <diagonal/>
    </border>
    <border diagonalUp="false" diagonalDown="false">
      <left/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A1A"/>
      <rgbColor rgb="FF800080"/>
      <rgbColor rgb="FF008080"/>
      <rgbColor rgb="FFD0CEC6"/>
      <rgbColor rgb="FF878787"/>
      <rgbColor rgb="FF9999FF"/>
      <rgbColor rgb="FF993366"/>
      <rgbColor rgb="FFF5F4F0"/>
      <rgbColor rgb="FFEBF0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860"/>
      <rgbColor rgb="FF969696"/>
      <rgbColor rgb="FF1C3F6E"/>
      <rgbColor rgb="FF2E7D55"/>
      <rgbColor rgb="FF181818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Analysis_1_Modes!B7</c:f>
              <c:strCache>
                <c:ptCount val="1"/>
                <c:pt idx="0">
                  <c:v>Failure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Analysis_1_Modes!$A$8:$A$11</c:f>
              <c:strCache>
                <c:ptCount val="4"/>
                <c:pt idx="0">
                  <c:v>Content Uniformity</c:v>
                </c:pt>
                <c:pt idx="1">
                  <c:v>Dissolution / Release</c:v>
                </c:pt>
                <c:pt idx="2">
                  <c:v>Physical Attributes</c:v>
                </c:pt>
                <c:pt idx="3">
                  <c:v>Microbiological / Environmental</c:v>
                </c:pt>
              </c:strCache>
            </c:strRef>
          </c:cat>
          <c:val>
            <c:numRef>
              <c:f>Analysis_1_Modes!$B$8:$B$11</c:f>
              <c:numCache>
                <c:formatCode>General</c:formatCode>
                <c:ptCount val="4"/>
                <c:pt idx="0">
                  <c:v>25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</c:numCache>
            </c:numRef>
          </c:val>
        </c:ser>
        <c:gapWidth val="150"/>
        <c:overlap val="0"/>
        <c:axId val="94414760"/>
        <c:axId val="86582328"/>
      </c:barChart>
      <c:catAx>
        <c:axId val="944147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Failure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82328"/>
        <c:crosses val="autoZero"/>
        <c:auto val="1"/>
        <c:lblAlgn val="ctr"/>
        <c:lblOffset val="100"/>
        <c:noMultiLvlLbl val="0"/>
      </c:catAx>
      <c:valAx>
        <c:axId val="86582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Failure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147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1122840</xdr:colOff>
      <xdr:row>43</xdr:row>
      <xdr:rowOff>128520</xdr:rowOff>
    </xdr:to>
    <xdr:graphicFrame>
      <xdr:nvGraphicFramePr>
        <xdr:cNvPr id="0" name="Chart 1"/>
        <xdr:cNvGraphicFramePr/>
      </xdr:nvGraphicFramePr>
      <xdr:xfrm>
        <a:off x="0" y="4657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0"/>
  </cols>
  <sheetData>
    <row r="1" customFormat="false" ht="36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.75" hidden="false" customHeight="true" outlineLevel="0" collapsed="false">
      <c r="A3" s="3" t="s">
        <v>2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4" t="s">
        <v>3</v>
      </c>
      <c r="B6" s="4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 t="s">
        <v>11</v>
      </c>
      <c r="B10" s="6" t="s">
        <v>12</v>
      </c>
    </row>
    <row r="11" customFormat="false" ht="15" hidden="false" customHeight="false" outlineLevel="0" collapsed="false">
      <c r="A11" s="5" t="s">
        <v>13</v>
      </c>
      <c r="B11" s="6" t="s">
        <v>14</v>
      </c>
    </row>
    <row r="13" customFormat="false" ht="15" hidden="false" customHeight="false" outlineLevel="0" collapsed="false">
      <c r="A13" s="7" t="s">
        <v>15</v>
      </c>
    </row>
    <row r="14" customFormat="false" ht="15" hidden="false" customHeight="false" outlineLevel="0" collapsed="false">
      <c r="A14" s="8" t="s">
        <v>16</v>
      </c>
      <c r="B14" s="9" t="s">
        <v>17</v>
      </c>
    </row>
    <row r="15" customFormat="false" ht="15" hidden="false" customHeight="false" outlineLevel="0" collapsed="false">
      <c r="A15" s="8" t="s">
        <v>18</v>
      </c>
      <c r="B15" s="9" t="s">
        <v>19</v>
      </c>
    </row>
    <row r="16" customFormat="false" ht="15" hidden="false" customHeight="false" outlineLevel="0" collapsed="false">
      <c r="A16" s="8" t="s">
        <v>20</v>
      </c>
      <c r="B16" s="9" t="s">
        <v>21</v>
      </c>
    </row>
    <row r="17" customFormat="false" ht="15" hidden="false" customHeight="false" outlineLevel="0" collapsed="false">
      <c r="A17" s="8" t="s">
        <v>22</v>
      </c>
      <c r="B17" s="9" t="s">
        <v>23</v>
      </c>
    </row>
    <row r="18" customFormat="false" ht="15" hidden="false" customHeight="false" outlineLevel="0" collapsed="false">
      <c r="A18" s="8" t="s">
        <v>24</v>
      </c>
      <c r="B18" s="9" t="s">
        <v>25</v>
      </c>
    </row>
    <row r="19" customFormat="false" ht="15" hidden="false" customHeight="false" outlineLevel="0" collapsed="false">
      <c r="A19" s="8" t="s">
        <v>26</v>
      </c>
      <c r="B19" s="9" t="s">
        <v>27</v>
      </c>
    </row>
    <row r="21" customFormat="false" ht="15" hidden="false" customHeight="false" outlineLevel="0" collapsed="false">
      <c r="A21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29</v>
      </c>
    </row>
    <row r="2" customFormat="false" ht="19.5" hidden="false" customHeight="true" outlineLevel="0" collapsed="false">
      <c r="A2" s="2" t="s">
        <v>30</v>
      </c>
    </row>
    <row r="3" customFormat="false" ht="15.75" hidden="false" customHeight="true" outlineLevel="0" collapsed="false">
      <c r="A3" s="3" t="s">
        <v>31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32</v>
      </c>
    </row>
    <row r="7" customFormat="false" ht="15" hidden="false" customHeight="false" outlineLevel="0" collapsed="false">
      <c r="A7" s="11" t="s">
        <v>33</v>
      </c>
      <c r="B7" s="11" t="s">
        <v>34</v>
      </c>
      <c r="C7" s="11" t="s">
        <v>35</v>
      </c>
      <c r="D7" s="11" t="s">
        <v>36</v>
      </c>
      <c r="E7" s="11" t="s">
        <v>37</v>
      </c>
      <c r="F7" s="11" t="s">
        <v>38</v>
      </c>
      <c r="G7" s="11" t="s">
        <v>39</v>
      </c>
      <c r="H7" s="11" t="s">
        <v>40</v>
      </c>
    </row>
    <row r="8" customFormat="false" ht="15" hidden="false" customHeight="false" outlineLevel="0" collapsed="false">
      <c r="A8" s="12" t="s">
        <v>41</v>
      </c>
      <c r="B8" s="12" t="s">
        <v>42</v>
      </c>
      <c r="C8" s="12" t="s">
        <v>43</v>
      </c>
      <c r="D8" s="12" t="s">
        <v>44</v>
      </c>
      <c r="E8" s="12" t="s">
        <v>45</v>
      </c>
      <c r="F8" s="12" t="s">
        <v>46</v>
      </c>
      <c r="G8" s="12" t="n">
        <v>15</v>
      </c>
      <c r="H8" s="13" t="s">
        <v>47</v>
      </c>
    </row>
    <row r="9" customFormat="false" ht="15" hidden="false" customHeight="false" outlineLevel="0" collapsed="false">
      <c r="A9" s="14" t="s">
        <v>48</v>
      </c>
      <c r="B9" s="14" t="s">
        <v>42</v>
      </c>
      <c r="C9" s="14" t="s">
        <v>43</v>
      </c>
      <c r="D9" s="14" t="s">
        <v>49</v>
      </c>
      <c r="E9" s="14" t="s">
        <v>50</v>
      </c>
      <c r="F9" s="14" t="s">
        <v>51</v>
      </c>
      <c r="G9" s="14" t="n">
        <v>105</v>
      </c>
      <c r="H9" s="15" t="s">
        <v>52</v>
      </c>
    </row>
    <row r="10" customFormat="false" ht="15" hidden="false" customHeight="false" outlineLevel="0" collapsed="false">
      <c r="A10" s="12" t="s">
        <v>53</v>
      </c>
      <c r="B10" s="12" t="s">
        <v>42</v>
      </c>
      <c r="C10" s="12" t="s">
        <v>43</v>
      </c>
      <c r="D10" s="12" t="s">
        <v>49</v>
      </c>
      <c r="E10" s="12" t="s">
        <v>54</v>
      </c>
      <c r="F10" s="12" t="s">
        <v>46</v>
      </c>
      <c r="G10" s="12" t="n">
        <v>45</v>
      </c>
      <c r="H10" s="16" t="s">
        <v>52</v>
      </c>
    </row>
    <row r="11" customFormat="false" ht="15" hidden="false" customHeight="false" outlineLevel="0" collapsed="false">
      <c r="A11" s="14" t="s">
        <v>55</v>
      </c>
      <c r="B11" s="14" t="s">
        <v>42</v>
      </c>
      <c r="C11" s="14" t="s">
        <v>43</v>
      </c>
      <c r="D11" s="14" t="s">
        <v>44</v>
      </c>
      <c r="E11" s="14" t="s">
        <v>45</v>
      </c>
      <c r="F11" s="14" t="s">
        <v>56</v>
      </c>
      <c r="G11" s="14" t="n">
        <v>15</v>
      </c>
      <c r="H11" s="17" t="s">
        <v>47</v>
      </c>
    </row>
    <row r="12" customFormat="false" ht="15" hidden="false" customHeight="false" outlineLevel="0" collapsed="false">
      <c r="A12" s="12" t="s">
        <v>57</v>
      </c>
      <c r="B12" s="12" t="s">
        <v>42</v>
      </c>
      <c r="C12" s="12" t="s">
        <v>43</v>
      </c>
      <c r="D12" s="12" t="s">
        <v>44</v>
      </c>
      <c r="E12" s="12" t="s">
        <v>50</v>
      </c>
      <c r="F12" s="12" t="s">
        <v>46</v>
      </c>
      <c r="G12" s="12" t="n">
        <v>105</v>
      </c>
      <c r="H12" s="13" t="s">
        <v>47</v>
      </c>
    </row>
    <row r="13" customFormat="false" ht="15" hidden="false" customHeight="false" outlineLevel="0" collapsed="false">
      <c r="A13" s="14" t="s">
        <v>58</v>
      </c>
      <c r="B13" s="14" t="s">
        <v>42</v>
      </c>
      <c r="C13" s="14" t="s">
        <v>43</v>
      </c>
      <c r="D13" s="14" t="s">
        <v>44</v>
      </c>
      <c r="E13" s="14" t="s">
        <v>54</v>
      </c>
      <c r="F13" s="14" t="s">
        <v>46</v>
      </c>
      <c r="G13" s="14" t="n">
        <v>130</v>
      </c>
      <c r="H13" s="17" t="s">
        <v>47</v>
      </c>
    </row>
    <row r="14" customFormat="false" ht="15" hidden="false" customHeight="false" outlineLevel="0" collapsed="false">
      <c r="A14" s="12" t="s">
        <v>59</v>
      </c>
      <c r="B14" s="12" t="s">
        <v>42</v>
      </c>
      <c r="C14" s="12" t="s">
        <v>43</v>
      </c>
      <c r="D14" s="12" t="s">
        <v>44</v>
      </c>
      <c r="E14" s="12" t="s">
        <v>54</v>
      </c>
      <c r="F14" s="12" t="s">
        <v>46</v>
      </c>
      <c r="G14" s="12" t="n">
        <v>105</v>
      </c>
      <c r="H14" s="13" t="s">
        <v>47</v>
      </c>
    </row>
    <row r="15" customFormat="false" ht="15" hidden="false" customHeight="false" outlineLevel="0" collapsed="false">
      <c r="A15" s="14" t="s">
        <v>60</v>
      </c>
      <c r="B15" s="14" t="s">
        <v>42</v>
      </c>
      <c r="C15" s="14" t="s">
        <v>43</v>
      </c>
      <c r="D15" s="14" t="s">
        <v>44</v>
      </c>
      <c r="E15" s="14" t="s">
        <v>50</v>
      </c>
      <c r="F15" s="14" t="s">
        <v>51</v>
      </c>
      <c r="G15" s="14" t="n">
        <v>45</v>
      </c>
      <c r="H15" s="17" t="s">
        <v>47</v>
      </c>
    </row>
    <row r="16" customFormat="false" ht="15" hidden="false" customHeight="false" outlineLevel="0" collapsed="false">
      <c r="A16" s="12" t="s">
        <v>61</v>
      </c>
      <c r="B16" s="12" t="s">
        <v>42</v>
      </c>
      <c r="C16" s="12" t="s">
        <v>43</v>
      </c>
      <c r="D16" s="12" t="s">
        <v>44</v>
      </c>
      <c r="E16" s="12" t="s">
        <v>54</v>
      </c>
      <c r="F16" s="12" t="s">
        <v>56</v>
      </c>
      <c r="G16" s="12" t="n">
        <v>105</v>
      </c>
      <c r="H16" s="13" t="s">
        <v>47</v>
      </c>
    </row>
    <row r="17" customFormat="false" ht="15" hidden="false" customHeight="false" outlineLevel="0" collapsed="false">
      <c r="A17" s="14" t="s">
        <v>62</v>
      </c>
      <c r="B17" s="14" t="s">
        <v>42</v>
      </c>
      <c r="C17" s="14" t="s">
        <v>43</v>
      </c>
      <c r="D17" s="14" t="s">
        <v>49</v>
      </c>
      <c r="E17" s="14" t="s">
        <v>50</v>
      </c>
      <c r="F17" s="14" t="s">
        <v>56</v>
      </c>
      <c r="G17" s="14" t="n">
        <v>75</v>
      </c>
      <c r="H17" s="15" t="s">
        <v>52</v>
      </c>
    </row>
    <row r="18" customFormat="false" ht="15" hidden="false" customHeight="false" outlineLevel="0" collapsed="false">
      <c r="A18" s="12" t="s">
        <v>63</v>
      </c>
      <c r="B18" s="12" t="s">
        <v>42</v>
      </c>
      <c r="C18" s="12" t="s">
        <v>43</v>
      </c>
      <c r="D18" s="12" t="s">
        <v>44</v>
      </c>
      <c r="E18" s="12" t="s">
        <v>54</v>
      </c>
      <c r="F18" s="12" t="s">
        <v>46</v>
      </c>
      <c r="G18" s="12" t="n">
        <v>15</v>
      </c>
      <c r="H18" s="13" t="s">
        <v>47</v>
      </c>
    </row>
    <row r="19" customFormat="false" ht="15" hidden="false" customHeight="false" outlineLevel="0" collapsed="false">
      <c r="A19" s="14" t="s">
        <v>64</v>
      </c>
      <c r="B19" s="14" t="s">
        <v>42</v>
      </c>
      <c r="C19" s="14" t="s">
        <v>43</v>
      </c>
      <c r="D19" s="14" t="s">
        <v>44</v>
      </c>
      <c r="E19" s="14" t="s">
        <v>54</v>
      </c>
      <c r="F19" s="14" t="s">
        <v>51</v>
      </c>
      <c r="G19" s="14" t="n">
        <v>45</v>
      </c>
      <c r="H19" s="17" t="s">
        <v>47</v>
      </c>
    </row>
    <row r="20" customFormat="false" ht="15" hidden="false" customHeight="false" outlineLevel="0" collapsed="false">
      <c r="A20" s="12" t="s">
        <v>65</v>
      </c>
      <c r="B20" s="12" t="s">
        <v>42</v>
      </c>
      <c r="C20" s="12" t="s">
        <v>43</v>
      </c>
      <c r="D20" s="12" t="s">
        <v>44</v>
      </c>
      <c r="E20" s="12" t="s">
        <v>54</v>
      </c>
      <c r="F20" s="12" t="s">
        <v>46</v>
      </c>
      <c r="G20" s="12" t="n">
        <v>130</v>
      </c>
      <c r="H20" s="13" t="s">
        <v>47</v>
      </c>
    </row>
    <row r="21" customFormat="false" ht="15" hidden="false" customHeight="false" outlineLevel="0" collapsed="false">
      <c r="A21" s="14" t="s">
        <v>66</v>
      </c>
      <c r="B21" s="14" t="s">
        <v>42</v>
      </c>
      <c r="C21" s="14" t="s">
        <v>43</v>
      </c>
      <c r="D21" s="14" t="s">
        <v>44</v>
      </c>
      <c r="E21" s="14" t="s">
        <v>45</v>
      </c>
      <c r="F21" s="14" t="s">
        <v>46</v>
      </c>
      <c r="G21" s="14" t="n">
        <v>75</v>
      </c>
      <c r="H21" s="17" t="s">
        <v>47</v>
      </c>
    </row>
    <row r="22" customFormat="false" ht="15" hidden="false" customHeight="false" outlineLevel="0" collapsed="false">
      <c r="A22" s="12" t="s">
        <v>67</v>
      </c>
      <c r="B22" s="12" t="s">
        <v>42</v>
      </c>
      <c r="C22" s="12" t="s">
        <v>43</v>
      </c>
      <c r="D22" s="12" t="s">
        <v>44</v>
      </c>
      <c r="E22" s="12" t="s">
        <v>54</v>
      </c>
      <c r="F22" s="12" t="s">
        <v>68</v>
      </c>
      <c r="G22" s="12" t="n">
        <v>75</v>
      </c>
      <c r="H22" s="13" t="s">
        <v>47</v>
      </c>
    </row>
    <row r="23" customFormat="false" ht="15" hidden="false" customHeight="false" outlineLevel="0" collapsed="false">
      <c r="A23" s="14" t="s">
        <v>69</v>
      </c>
      <c r="B23" s="14" t="s">
        <v>42</v>
      </c>
      <c r="C23" s="14" t="s">
        <v>43</v>
      </c>
      <c r="D23" s="14" t="s">
        <v>44</v>
      </c>
      <c r="E23" s="14" t="s">
        <v>45</v>
      </c>
      <c r="F23" s="14" t="s">
        <v>68</v>
      </c>
      <c r="G23" s="14" t="n">
        <v>75</v>
      </c>
      <c r="H23" s="17" t="s">
        <v>47</v>
      </c>
    </row>
    <row r="24" customFormat="false" ht="15" hidden="false" customHeight="false" outlineLevel="0" collapsed="false">
      <c r="A24" s="12" t="s">
        <v>70</v>
      </c>
      <c r="B24" s="12" t="s">
        <v>42</v>
      </c>
      <c r="C24" s="12" t="s">
        <v>43</v>
      </c>
      <c r="D24" s="12" t="s">
        <v>44</v>
      </c>
      <c r="E24" s="12" t="s">
        <v>54</v>
      </c>
      <c r="F24" s="12" t="s">
        <v>56</v>
      </c>
      <c r="G24" s="12" t="n">
        <v>15</v>
      </c>
      <c r="H24" s="13" t="s">
        <v>47</v>
      </c>
    </row>
    <row r="25" customFormat="false" ht="15" hidden="false" customHeight="false" outlineLevel="0" collapsed="false">
      <c r="A25" s="14" t="s">
        <v>71</v>
      </c>
      <c r="B25" s="14" t="s">
        <v>42</v>
      </c>
      <c r="C25" s="14" t="s">
        <v>43</v>
      </c>
      <c r="D25" s="14" t="s">
        <v>44</v>
      </c>
      <c r="E25" s="14" t="s">
        <v>50</v>
      </c>
      <c r="F25" s="14" t="s">
        <v>68</v>
      </c>
      <c r="G25" s="14" t="n">
        <v>45</v>
      </c>
      <c r="H25" s="17" t="s">
        <v>47</v>
      </c>
    </row>
    <row r="26" customFormat="false" ht="15" hidden="false" customHeight="false" outlineLevel="0" collapsed="false">
      <c r="A26" s="12" t="s">
        <v>72</v>
      </c>
      <c r="B26" s="12" t="s">
        <v>42</v>
      </c>
      <c r="C26" s="12" t="s">
        <v>43</v>
      </c>
      <c r="D26" s="12" t="s">
        <v>44</v>
      </c>
      <c r="E26" s="12" t="s">
        <v>54</v>
      </c>
      <c r="F26" s="12" t="s">
        <v>68</v>
      </c>
      <c r="G26" s="12" t="n">
        <v>45</v>
      </c>
      <c r="H26" s="13" t="s">
        <v>47</v>
      </c>
    </row>
    <row r="27" customFormat="false" ht="15" hidden="false" customHeight="false" outlineLevel="0" collapsed="false">
      <c r="A27" s="14" t="s">
        <v>73</v>
      </c>
      <c r="B27" s="14" t="s">
        <v>42</v>
      </c>
      <c r="C27" s="14" t="s">
        <v>43</v>
      </c>
      <c r="D27" s="14" t="s">
        <v>44</v>
      </c>
      <c r="E27" s="14" t="s">
        <v>54</v>
      </c>
      <c r="F27" s="14" t="s">
        <v>56</v>
      </c>
      <c r="G27" s="14" t="n">
        <v>15</v>
      </c>
      <c r="H27" s="17" t="s">
        <v>47</v>
      </c>
    </row>
    <row r="28" customFormat="false" ht="15" hidden="false" customHeight="false" outlineLevel="0" collapsed="false">
      <c r="A28" s="12" t="s">
        <v>74</v>
      </c>
      <c r="B28" s="12" t="s">
        <v>42</v>
      </c>
      <c r="C28" s="12" t="s">
        <v>43</v>
      </c>
      <c r="D28" s="12" t="s">
        <v>44</v>
      </c>
      <c r="E28" s="12" t="s">
        <v>50</v>
      </c>
      <c r="F28" s="12" t="s">
        <v>56</v>
      </c>
      <c r="G28" s="12" t="n">
        <v>15</v>
      </c>
      <c r="H28" s="13" t="s">
        <v>47</v>
      </c>
    </row>
    <row r="29" customFormat="false" ht="15" hidden="false" customHeight="false" outlineLevel="0" collapsed="false">
      <c r="A29" s="14" t="s">
        <v>75</v>
      </c>
      <c r="B29" s="14" t="s">
        <v>42</v>
      </c>
      <c r="C29" s="14" t="s">
        <v>43</v>
      </c>
      <c r="D29" s="14" t="s">
        <v>44</v>
      </c>
      <c r="E29" s="14" t="s">
        <v>45</v>
      </c>
      <c r="F29" s="14" t="s">
        <v>46</v>
      </c>
      <c r="G29" s="14" t="n">
        <v>15</v>
      </c>
      <c r="H29" s="17" t="s">
        <v>47</v>
      </c>
    </row>
    <row r="30" customFormat="false" ht="15" hidden="false" customHeight="false" outlineLevel="0" collapsed="false">
      <c r="A30" s="12" t="s">
        <v>76</v>
      </c>
      <c r="B30" s="12" t="s">
        <v>42</v>
      </c>
      <c r="C30" s="12" t="s">
        <v>43</v>
      </c>
      <c r="D30" s="12" t="s">
        <v>49</v>
      </c>
      <c r="E30" s="12" t="s">
        <v>45</v>
      </c>
      <c r="F30" s="12" t="s">
        <v>51</v>
      </c>
      <c r="G30" s="12" t="n">
        <v>45</v>
      </c>
      <c r="H30" s="16" t="s">
        <v>52</v>
      </c>
    </row>
    <row r="31" customFormat="false" ht="15" hidden="false" customHeight="false" outlineLevel="0" collapsed="false">
      <c r="A31" s="14" t="s">
        <v>77</v>
      </c>
      <c r="B31" s="14" t="s">
        <v>42</v>
      </c>
      <c r="C31" s="14" t="s">
        <v>43</v>
      </c>
      <c r="D31" s="14" t="s">
        <v>44</v>
      </c>
      <c r="E31" s="14" t="s">
        <v>50</v>
      </c>
      <c r="F31" s="14" t="s">
        <v>56</v>
      </c>
      <c r="G31" s="14" t="n">
        <v>130</v>
      </c>
      <c r="H31" s="17" t="s">
        <v>47</v>
      </c>
    </row>
    <row r="32" customFormat="false" ht="15" hidden="false" customHeight="false" outlineLevel="0" collapsed="false">
      <c r="A32" s="12" t="s">
        <v>78</v>
      </c>
      <c r="B32" s="12" t="s">
        <v>42</v>
      </c>
      <c r="C32" s="12" t="s">
        <v>43</v>
      </c>
      <c r="D32" s="12" t="s">
        <v>44</v>
      </c>
      <c r="E32" s="12" t="s">
        <v>54</v>
      </c>
      <c r="F32" s="12" t="s">
        <v>51</v>
      </c>
      <c r="G32" s="12" t="n">
        <v>75</v>
      </c>
      <c r="H32" s="13" t="s">
        <v>47</v>
      </c>
    </row>
    <row r="33" customFormat="false" ht="15" hidden="false" customHeight="false" outlineLevel="0" collapsed="false">
      <c r="A33" s="14" t="s">
        <v>79</v>
      </c>
      <c r="B33" s="14" t="s">
        <v>42</v>
      </c>
      <c r="C33" s="14" t="s">
        <v>43</v>
      </c>
      <c r="D33" s="14" t="s">
        <v>44</v>
      </c>
      <c r="E33" s="14" t="s">
        <v>54</v>
      </c>
      <c r="F33" s="14" t="s">
        <v>51</v>
      </c>
      <c r="G33" s="14" t="n">
        <v>15</v>
      </c>
      <c r="H33" s="17" t="s">
        <v>47</v>
      </c>
    </row>
    <row r="34" customFormat="false" ht="15" hidden="false" customHeight="false" outlineLevel="0" collapsed="false">
      <c r="A34" s="12" t="s">
        <v>80</v>
      </c>
      <c r="B34" s="12" t="s">
        <v>42</v>
      </c>
      <c r="C34" s="12" t="s">
        <v>43</v>
      </c>
      <c r="D34" s="12" t="s">
        <v>49</v>
      </c>
      <c r="E34" s="12" t="s">
        <v>45</v>
      </c>
      <c r="F34" s="12" t="s">
        <v>68</v>
      </c>
      <c r="G34" s="12" t="n">
        <v>105</v>
      </c>
      <c r="H34" s="16" t="s">
        <v>52</v>
      </c>
    </row>
    <row r="35" customFormat="false" ht="15" hidden="false" customHeight="false" outlineLevel="0" collapsed="false">
      <c r="A35" s="14" t="s">
        <v>81</v>
      </c>
      <c r="B35" s="14" t="s">
        <v>42</v>
      </c>
      <c r="C35" s="14" t="s">
        <v>43</v>
      </c>
      <c r="D35" s="14" t="s">
        <v>44</v>
      </c>
      <c r="E35" s="14" t="s">
        <v>54</v>
      </c>
      <c r="F35" s="14" t="s">
        <v>68</v>
      </c>
      <c r="G35" s="14" t="n">
        <v>105</v>
      </c>
      <c r="H35" s="17" t="s">
        <v>47</v>
      </c>
    </row>
    <row r="36" customFormat="false" ht="15" hidden="false" customHeight="false" outlineLevel="0" collapsed="false">
      <c r="A36" s="12" t="s">
        <v>82</v>
      </c>
      <c r="B36" s="12" t="s">
        <v>42</v>
      </c>
      <c r="C36" s="12" t="s">
        <v>43</v>
      </c>
      <c r="D36" s="12" t="s">
        <v>44</v>
      </c>
      <c r="E36" s="12" t="s">
        <v>45</v>
      </c>
      <c r="F36" s="12" t="s">
        <v>51</v>
      </c>
      <c r="G36" s="12" t="n">
        <v>15</v>
      </c>
      <c r="H36" s="13" t="s">
        <v>47</v>
      </c>
    </row>
    <row r="37" customFormat="false" ht="15" hidden="false" customHeight="false" outlineLevel="0" collapsed="false">
      <c r="A37" s="14" t="s">
        <v>83</v>
      </c>
      <c r="B37" s="14" t="s">
        <v>42</v>
      </c>
      <c r="C37" s="14" t="s">
        <v>43</v>
      </c>
      <c r="D37" s="14" t="s">
        <v>49</v>
      </c>
      <c r="E37" s="14" t="s">
        <v>45</v>
      </c>
      <c r="F37" s="14" t="s">
        <v>51</v>
      </c>
      <c r="G37" s="14" t="n">
        <v>45</v>
      </c>
      <c r="H37" s="15" t="s">
        <v>52</v>
      </c>
    </row>
    <row r="38" customFormat="false" ht="15" hidden="false" customHeight="false" outlineLevel="0" collapsed="false">
      <c r="A38" s="12" t="s">
        <v>84</v>
      </c>
      <c r="B38" s="12" t="s">
        <v>42</v>
      </c>
      <c r="C38" s="12" t="s">
        <v>43</v>
      </c>
      <c r="D38" s="12" t="s">
        <v>44</v>
      </c>
      <c r="E38" s="12" t="s">
        <v>54</v>
      </c>
      <c r="F38" s="12" t="s">
        <v>68</v>
      </c>
      <c r="G38" s="12" t="n">
        <v>105</v>
      </c>
      <c r="H38" s="13" t="s">
        <v>47</v>
      </c>
    </row>
    <row r="39" customFormat="false" ht="15" hidden="false" customHeight="false" outlineLevel="0" collapsed="false">
      <c r="A39" s="14" t="s">
        <v>85</v>
      </c>
      <c r="B39" s="14" t="s">
        <v>42</v>
      </c>
      <c r="C39" s="14" t="s">
        <v>43</v>
      </c>
      <c r="D39" s="14" t="s">
        <v>44</v>
      </c>
      <c r="E39" s="14" t="s">
        <v>54</v>
      </c>
      <c r="F39" s="14" t="s">
        <v>46</v>
      </c>
      <c r="G39" s="14" t="n">
        <v>105</v>
      </c>
      <c r="H39" s="17" t="s">
        <v>47</v>
      </c>
    </row>
    <row r="40" customFormat="false" ht="15" hidden="false" customHeight="false" outlineLevel="0" collapsed="false">
      <c r="A40" s="12" t="s">
        <v>86</v>
      </c>
      <c r="B40" s="12" t="s">
        <v>42</v>
      </c>
      <c r="C40" s="12" t="s">
        <v>43</v>
      </c>
      <c r="D40" s="12" t="s">
        <v>44</v>
      </c>
      <c r="E40" s="12" t="s">
        <v>54</v>
      </c>
      <c r="F40" s="12" t="s">
        <v>56</v>
      </c>
      <c r="G40" s="12" t="n">
        <v>15</v>
      </c>
      <c r="H40" s="13" t="s">
        <v>47</v>
      </c>
    </row>
    <row r="41" customFormat="false" ht="15" hidden="false" customHeight="false" outlineLevel="0" collapsed="false">
      <c r="A41" s="14" t="s">
        <v>87</v>
      </c>
      <c r="B41" s="14" t="s">
        <v>42</v>
      </c>
      <c r="C41" s="14" t="s">
        <v>43</v>
      </c>
      <c r="D41" s="14" t="s">
        <v>44</v>
      </c>
      <c r="E41" s="14" t="s">
        <v>50</v>
      </c>
      <c r="F41" s="14" t="s">
        <v>46</v>
      </c>
      <c r="G41" s="14" t="n">
        <v>45</v>
      </c>
      <c r="H41" s="17" t="s">
        <v>47</v>
      </c>
    </row>
    <row r="42" customFormat="false" ht="15" hidden="false" customHeight="false" outlineLevel="0" collapsed="false">
      <c r="A42" s="12" t="s">
        <v>88</v>
      </c>
      <c r="B42" s="12" t="s">
        <v>42</v>
      </c>
      <c r="C42" s="12" t="s">
        <v>43</v>
      </c>
      <c r="D42" s="12" t="s">
        <v>44</v>
      </c>
      <c r="E42" s="12" t="s">
        <v>54</v>
      </c>
      <c r="F42" s="12" t="s">
        <v>68</v>
      </c>
      <c r="G42" s="12" t="n">
        <v>45</v>
      </c>
      <c r="H42" s="13" t="s">
        <v>47</v>
      </c>
    </row>
    <row r="43" customFormat="false" ht="15" hidden="false" customHeight="false" outlineLevel="0" collapsed="false">
      <c r="A43" s="14" t="s">
        <v>89</v>
      </c>
      <c r="B43" s="14" t="s">
        <v>42</v>
      </c>
      <c r="C43" s="14" t="s">
        <v>43</v>
      </c>
      <c r="D43" s="14" t="s">
        <v>44</v>
      </c>
      <c r="E43" s="14" t="s">
        <v>45</v>
      </c>
      <c r="F43" s="14" t="s">
        <v>51</v>
      </c>
      <c r="G43" s="14" t="n">
        <v>15</v>
      </c>
      <c r="H43" s="17" t="s">
        <v>47</v>
      </c>
    </row>
    <row r="44" customFormat="false" ht="15" hidden="false" customHeight="false" outlineLevel="0" collapsed="false">
      <c r="A44" s="12" t="s">
        <v>90</v>
      </c>
      <c r="B44" s="12" t="s">
        <v>42</v>
      </c>
      <c r="C44" s="12" t="s">
        <v>43</v>
      </c>
      <c r="D44" s="12" t="s">
        <v>44</v>
      </c>
      <c r="E44" s="12" t="s">
        <v>50</v>
      </c>
      <c r="F44" s="12" t="s">
        <v>51</v>
      </c>
      <c r="G44" s="12" t="n">
        <v>45</v>
      </c>
      <c r="H44" s="13" t="s">
        <v>47</v>
      </c>
    </row>
    <row r="45" customFormat="false" ht="15" hidden="false" customHeight="false" outlineLevel="0" collapsed="false">
      <c r="A45" s="14" t="s">
        <v>91</v>
      </c>
      <c r="B45" s="14" t="s">
        <v>42</v>
      </c>
      <c r="C45" s="14" t="s">
        <v>43</v>
      </c>
      <c r="D45" s="14" t="s">
        <v>44</v>
      </c>
      <c r="E45" s="14" t="s">
        <v>54</v>
      </c>
      <c r="F45" s="14" t="s">
        <v>46</v>
      </c>
      <c r="G45" s="14" t="n">
        <v>45</v>
      </c>
      <c r="H45" s="17" t="s">
        <v>47</v>
      </c>
    </row>
    <row r="46" customFormat="false" ht="15" hidden="false" customHeight="false" outlineLevel="0" collapsed="false">
      <c r="A46" s="12" t="s">
        <v>92</v>
      </c>
      <c r="B46" s="12" t="s">
        <v>42</v>
      </c>
      <c r="C46" s="12" t="s">
        <v>43</v>
      </c>
      <c r="D46" s="12" t="s">
        <v>44</v>
      </c>
      <c r="E46" s="12" t="s">
        <v>54</v>
      </c>
      <c r="F46" s="12" t="s">
        <v>46</v>
      </c>
      <c r="G46" s="12" t="n">
        <v>15</v>
      </c>
      <c r="H46" s="13" t="s">
        <v>47</v>
      </c>
    </row>
    <row r="47" customFormat="false" ht="15" hidden="false" customHeight="false" outlineLevel="0" collapsed="false">
      <c r="A47" s="14" t="s">
        <v>93</v>
      </c>
      <c r="B47" s="14" t="s">
        <v>42</v>
      </c>
      <c r="C47" s="14" t="s">
        <v>43</v>
      </c>
      <c r="D47" s="14" t="s">
        <v>49</v>
      </c>
      <c r="E47" s="14" t="s">
        <v>54</v>
      </c>
      <c r="F47" s="14" t="s">
        <v>68</v>
      </c>
      <c r="G47" s="14" t="n">
        <v>105</v>
      </c>
      <c r="H47" s="15" t="s">
        <v>52</v>
      </c>
    </row>
    <row r="48" customFormat="false" ht="15" hidden="false" customHeight="false" outlineLevel="0" collapsed="false">
      <c r="A48" s="18" t="s">
        <v>94</v>
      </c>
    </row>
    <row r="50" customFormat="false" ht="15" hidden="false" customHeight="false" outlineLevel="0" collapsed="false">
      <c r="A50" s="7" t="s">
        <v>95</v>
      </c>
    </row>
    <row r="51" customFormat="false" ht="15" hidden="false" customHeight="false" outlineLevel="0" collapsed="false">
      <c r="A51" s="19" t="s">
        <v>96</v>
      </c>
      <c r="B51" s="9" t="s">
        <v>19</v>
      </c>
      <c r="C51" s="10" t="s">
        <v>97</v>
      </c>
    </row>
    <row r="52" customFormat="false" ht="15" hidden="false" customHeight="false" outlineLevel="0" collapsed="false">
      <c r="A52" s="19" t="s">
        <v>98</v>
      </c>
      <c r="B52" s="9" t="s">
        <v>99</v>
      </c>
      <c r="C52" s="10" t="s">
        <v>100</v>
      </c>
    </row>
    <row r="53" customFormat="false" ht="15" hidden="false" customHeight="false" outlineLevel="0" collapsed="false">
      <c r="A53" s="19" t="s">
        <v>101</v>
      </c>
      <c r="B53" s="9" t="s">
        <v>102</v>
      </c>
      <c r="C53" s="10" t="s">
        <v>103</v>
      </c>
    </row>
    <row r="54" customFormat="false" ht="15" hidden="false" customHeight="false" outlineLevel="0" collapsed="false">
      <c r="A54" s="19" t="s">
        <v>104</v>
      </c>
      <c r="B54" s="9" t="s">
        <v>105</v>
      </c>
      <c r="C54" s="10" t="s">
        <v>106</v>
      </c>
    </row>
    <row r="55" customFormat="false" ht="15" hidden="false" customHeight="false" outlineLevel="0" collapsed="false">
      <c r="A55" s="19" t="s">
        <v>107</v>
      </c>
      <c r="B55" s="9" t="s">
        <v>105</v>
      </c>
      <c r="C55" s="10" t="s">
        <v>106</v>
      </c>
    </row>
    <row r="56" customFormat="false" ht="15" hidden="false" customHeight="false" outlineLevel="0" collapsed="false">
      <c r="A56" s="19" t="s">
        <v>108</v>
      </c>
      <c r="B56" s="9" t="s">
        <v>105</v>
      </c>
      <c r="C56" s="10" t="s">
        <v>106</v>
      </c>
    </row>
    <row r="57" customFormat="false" ht="15" hidden="false" customHeight="false" outlineLevel="0" collapsed="false">
      <c r="A57" s="19" t="s">
        <v>109</v>
      </c>
      <c r="B57" s="9" t="s">
        <v>110</v>
      </c>
      <c r="C57" s="10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28"/>
  </cols>
  <sheetData>
    <row r="1" customFormat="false" ht="36" hidden="false" customHeight="true" outlineLevel="0" collapsed="false">
      <c r="A1" s="1" t="s">
        <v>112</v>
      </c>
    </row>
    <row r="2" customFormat="false" ht="19.5" hidden="false" customHeight="true" outlineLevel="0" collapsed="false">
      <c r="A2" s="2" t="s">
        <v>113</v>
      </c>
    </row>
    <row r="3" customFormat="false" ht="15.75" hidden="false" customHeight="true" outlineLevel="0" collapsed="false">
      <c r="A3" s="3" t="s">
        <v>114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115</v>
      </c>
    </row>
    <row r="7" customFormat="false" ht="15" hidden="false" customHeight="false" outlineLevel="0" collapsed="false">
      <c r="A7" s="11" t="s">
        <v>116</v>
      </c>
      <c r="B7" s="11" t="s">
        <v>117</v>
      </c>
      <c r="C7" s="11" t="s">
        <v>118</v>
      </c>
      <c r="D7" s="11" t="s">
        <v>119</v>
      </c>
      <c r="E7" s="11" t="s">
        <v>120</v>
      </c>
    </row>
    <row r="8" customFormat="false" ht="15" hidden="false" customHeight="false" outlineLevel="0" collapsed="false">
      <c r="A8" s="20" t="s">
        <v>49</v>
      </c>
      <c r="B8" s="21" t="n">
        <v>25</v>
      </c>
      <c r="C8" s="22" t="n">
        <f aca="false">B8/47</f>
        <v>0.531914893617021</v>
      </c>
      <c r="D8" s="23" t="s">
        <v>121</v>
      </c>
      <c r="E8" s="24" t="n">
        <f aca="false">C8-0.225</f>
        <v>0.306914893617021</v>
      </c>
    </row>
    <row r="9" customFormat="false" ht="15" hidden="false" customHeight="false" outlineLevel="0" collapsed="false">
      <c r="A9" s="25" t="s">
        <v>122</v>
      </c>
      <c r="B9" s="26" t="n">
        <v>12</v>
      </c>
      <c r="C9" s="27" t="n">
        <f aca="false">B9/47</f>
        <v>0.25531914893617</v>
      </c>
      <c r="D9" s="28" t="s">
        <v>123</v>
      </c>
      <c r="E9" s="29" t="n">
        <f aca="false">C9-0.175</f>
        <v>0.0803191489361702</v>
      </c>
    </row>
    <row r="10" customFormat="false" ht="15" hidden="false" customHeight="false" outlineLevel="0" collapsed="false">
      <c r="A10" s="20" t="s">
        <v>124</v>
      </c>
      <c r="B10" s="21" t="n">
        <v>7</v>
      </c>
      <c r="C10" s="22" t="n">
        <f aca="false">B10/47</f>
        <v>0.148936170212766</v>
      </c>
      <c r="D10" s="23" t="s">
        <v>125</v>
      </c>
      <c r="E10" s="30" t="n">
        <f aca="false">C10-0.45</f>
        <v>-0.301063829787234</v>
      </c>
    </row>
    <row r="11" customFormat="false" ht="15" hidden="false" customHeight="false" outlineLevel="0" collapsed="false">
      <c r="A11" s="25" t="s">
        <v>126</v>
      </c>
      <c r="B11" s="26" t="n">
        <v>3</v>
      </c>
      <c r="C11" s="27" t="n">
        <f aca="false">B11/47</f>
        <v>0.0638297872340426</v>
      </c>
      <c r="D11" s="28" t="s">
        <v>127</v>
      </c>
      <c r="E11" s="31" t="n">
        <f aca="false">C11-0.125</f>
        <v>-0.0611702127659575</v>
      </c>
    </row>
    <row r="12" customFormat="false" ht="15" hidden="false" customHeight="false" outlineLevel="0" collapsed="false">
      <c r="A12" s="32" t="s">
        <v>128</v>
      </c>
      <c r="B12" s="33" t="n">
        <f aca="false">SUM(B8:B11)</f>
        <v>47</v>
      </c>
      <c r="C12" s="34" t="n">
        <f aca="false">SUM(C8:C11)</f>
        <v>1</v>
      </c>
    </row>
    <row r="14" customFormat="false" ht="15" hidden="false" customHeight="false" outlineLevel="0" collapsed="false">
      <c r="A14" s="7" t="s">
        <v>129</v>
      </c>
    </row>
    <row r="15" customFormat="false" ht="39.75" hidden="false" customHeight="true" outlineLevel="0" collapsed="false">
      <c r="A15" s="3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  <col collapsed="false" customWidth="true" hidden="false" outlineLevel="0" max="7" min="6" style="0" width="20"/>
  </cols>
  <sheetData>
    <row r="1" customFormat="false" ht="36" hidden="false" customHeight="true" outlineLevel="0" collapsed="false">
      <c r="A1" s="1" t="s">
        <v>131</v>
      </c>
    </row>
    <row r="2" customFormat="false" ht="19.5" hidden="false" customHeight="true" outlineLevel="0" collapsed="false">
      <c r="A2" s="2" t="s">
        <v>132</v>
      </c>
    </row>
    <row r="3" customFormat="false" ht="15.75" hidden="false" customHeight="true" outlineLevel="0" collapsed="false">
      <c r="A3" s="3" t="s">
        <v>133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134</v>
      </c>
    </row>
    <row r="7" customFormat="false" ht="15" hidden="false" customHeight="false" outlineLevel="0" collapsed="false">
      <c r="A7" s="11" t="s">
        <v>135</v>
      </c>
      <c r="B7" s="36" t="s">
        <v>136</v>
      </c>
      <c r="C7" s="36" t="s">
        <v>56</v>
      </c>
      <c r="D7" s="36" t="s">
        <v>51</v>
      </c>
      <c r="E7" s="36" t="s">
        <v>137</v>
      </c>
      <c r="F7" s="36" t="s">
        <v>138</v>
      </c>
    </row>
    <row r="8" customFormat="false" ht="15" hidden="false" customHeight="false" outlineLevel="0" collapsed="false">
      <c r="A8" s="20" t="s">
        <v>139</v>
      </c>
      <c r="B8" s="37" t="n">
        <v>0.04</v>
      </c>
      <c r="C8" s="37" t="n">
        <v>0.06</v>
      </c>
      <c r="D8" s="37" t="n">
        <v>0.09</v>
      </c>
      <c r="E8" s="38" t="n">
        <v>0.11</v>
      </c>
      <c r="F8" s="22" t="n">
        <f aca="false">AVERAGE(B8:E8)</f>
        <v>0.075</v>
      </c>
    </row>
    <row r="9" customFormat="false" ht="15" hidden="false" customHeight="false" outlineLevel="0" collapsed="false">
      <c r="A9" s="25" t="s">
        <v>140</v>
      </c>
      <c r="B9" s="39" t="n">
        <v>0.05</v>
      </c>
      <c r="C9" s="39" t="n">
        <v>0.08</v>
      </c>
      <c r="D9" s="40" t="n">
        <v>0.12</v>
      </c>
      <c r="E9" s="40" t="n">
        <v>0.17</v>
      </c>
      <c r="F9" s="27" t="n">
        <f aca="false">AVERAGE(B9:E9)</f>
        <v>0.105</v>
      </c>
    </row>
    <row r="10" customFormat="false" ht="15" hidden="false" customHeight="false" outlineLevel="0" collapsed="false">
      <c r="A10" s="41" t="s">
        <v>141</v>
      </c>
      <c r="B10" s="37" t="n">
        <v>0.09</v>
      </c>
      <c r="C10" s="38" t="n">
        <v>0.14</v>
      </c>
      <c r="D10" s="42" t="n">
        <v>0.2</v>
      </c>
      <c r="E10" s="42" t="n">
        <v>0.28</v>
      </c>
      <c r="F10" s="22" t="n">
        <f aca="false">AVERAGE(B10:E10)</f>
        <v>0.1775</v>
      </c>
    </row>
    <row r="11" customFormat="false" ht="15" hidden="false" customHeight="false" outlineLevel="0" collapsed="false">
      <c r="A11" s="43" t="s">
        <v>142</v>
      </c>
      <c r="B11" s="22" t="n">
        <f aca="false">AVERAGE(B8:B10)</f>
        <v>0.06</v>
      </c>
      <c r="C11" s="22" t="n">
        <f aca="false">AVERAGE(C8:C10)</f>
        <v>0.0933333333333333</v>
      </c>
      <c r="D11" s="22" t="n">
        <f aca="false">AVERAGE(D8:D10)</f>
        <v>0.136666666666667</v>
      </c>
      <c r="E11" s="22" t="n">
        <f aca="false">AVERAGE(E8:E10)</f>
        <v>0.186666666666667</v>
      </c>
    </row>
    <row r="13" customFormat="false" ht="15" hidden="false" customHeight="false" outlineLevel="0" collapsed="false">
      <c r="A13" s="7" t="s">
        <v>143</v>
      </c>
    </row>
    <row r="14" customFormat="false" ht="15" hidden="false" customHeight="false" outlineLevel="0" collapsed="false">
      <c r="A14" s="11" t="s">
        <v>39</v>
      </c>
      <c r="B14" s="11" t="s">
        <v>144</v>
      </c>
      <c r="C14" s="11" t="s">
        <v>145</v>
      </c>
      <c r="D14" s="11" t="s">
        <v>146</v>
      </c>
    </row>
    <row r="15" customFormat="false" ht="15" hidden="false" customHeight="false" outlineLevel="0" collapsed="false">
      <c r="A15" s="20" t="s">
        <v>147</v>
      </c>
      <c r="B15" s="37" t="n">
        <v>0.05</v>
      </c>
      <c r="C15" s="44" t="n">
        <v>0.04</v>
      </c>
      <c r="D15" s="45" t="n">
        <f aca="false">B15-C15</f>
        <v>0.01</v>
      </c>
    </row>
    <row r="16" customFormat="false" ht="15" hidden="false" customHeight="false" outlineLevel="0" collapsed="false">
      <c r="A16" s="25" t="s">
        <v>148</v>
      </c>
      <c r="B16" s="39" t="n">
        <v>0.09</v>
      </c>
      <c r="C16" s="46" t="n">
        <v>0.04</v>
      </c>
      <c r="D16" s="47" t="n">
        <f aca="false">B16-C16</f>
        <v>0.05</v>
      </c>
    </row>
    <row r="17" customFormat="false" ht="15" hidden="false" customHeight="false" outlineLevel="0" collapsed="false">
      <c r="A17" s="20" t="s">
        <v>149</v>
      </c>
      <c r="B17" s="42" t="n">
        <v>0.14</v>
      </c>
      <c r="C17" s="44" t="n">
        <v>0.04</v>
      </c>
      <c r="D17" s="24" t="n">
        <f aca="false">B17-C17</f>
        <v>0.1</v>
      </c>
    </row>
    <row r="18" customFormat="false" ht="15" hidden="false" customHeight="false" outlineLevel="0" collapsed="false">
      <c r="A18" s="25" t="s">
        <v>150</v>
      </c>
      <c r="B18" s="48" t="n">
        <v>0.18</v>
      </c>
      <c r="C18" s="46" t="n">
        <v>0.04</v>
      </c>
      <c r="D18" s="29" t="n">
        <f aca="false">B18-C18</f>
        <v>0.14</v>
      </c>
    </row>
    <row r="19" customFormat="false" ht="15" hidden="false" customHeight="false" outlineLevel="0" collapsed="false">
      <c r="A19" s="20" t="s">
        <v>151</v>
      </c>
      <c r="B19" s="42" t="n">
        <v>0.24</v>
      </c>
      <c r="C19" s="44" t="n">
        <v>0.04</v>
      </c>
      <c r="D19" s="24" t="n">
        <f aca="false">B19-C19</f>
        <v>0.2</v>
      </c>
    </row>
    <row r="21" customFormat="false" ht="15" hidden="false" customHeight="false" outlineLevel="0" collapsed="false">
      <c r="A21" s="7" t="s">
        <v>152</v>
      </c>
    </row>
    <row r="22" customFormat="false" ht="15" hidden="false" customHeight="false" outlineLevel="0" collapsed="false">
      <c r="A22" s="11" t="s">
        <v>153</v>
      </c>
      <c r="B22" s="11" t="s">
        <v>154</v>
      </c>
      <c r="C22" s="11" t="s">
        <v>155</v>
      </c>
      <c r="D22" s="11" t="s">
        <v>156</v>
      </c>
      <c r="E22" s="11" t="s">
        <v>157</v>
      </c>
      <c r="F22" s="11" t="s">
        <v>158</v>
      </c>
    </row>
    <row r="23" customFormat="false" ht="15" hidden="false" customHeight="false" outlineLevel="0" collapsed="false">
      <c r="A23" s="49" t="s">
        <v>159</v>
      </c>
      <c r="B23" s="50" t="n">
        <v>8</v>
      </c>
      <c r="C23" s="50" t="n">
        <v>7</v>
      </c>
      <c r="D23" s="50" t="n">
        <v>6</v>
      </c>
      <c r="E23" s="51" t="n">
        <f aca="false">B23*C23*D23</f>
        <v>336</v>
      </c>
      <c r="F23" s="52" t="s">
        <v>160</v>
      </c>
    </row>
    <row r="24" customFormat="false" ht="15" hidden="false" customHeight="false" outlineLevel="0" collapsed="false">
      <c r="A24" s="25" t="s">
        <v>161</v>
      </c>
      <c r="B24" s="53" t="n">
        <v>7</v>
      </c>
      <c r="C24" s="53" t="n">
        <v>6</v>
      </c>
      <c r="D24" s="53" t="n">
        <v>6</v>
      </c>
      <c r="E24" s="54" t="n">
        <f aca="false">B24*C24*D24</f>
        <v>252</v>
      </c>
      <c r="F24" s="55" t="s">
        <v>162</v>
      </c>
    </row>
    <row r="25" customFormat="false" ht="15" hidden="false" customHeight="false" outlineLevel="0" collapsed="false">
      <c r="A25" s="20" t="s">
        <v>163</v>
      </c>
      <c r="B25" s="50" t="n">
        <v>6</v>
      </c>
      <c r="C25" s="50" t="n">
        <v>7</v>
      </c>
      <c r="D25" s="50" t="n">
        <v>4</v>
      </c>
      <c r="E25" s="56" t="n">
        <f aca="false">B25*C25*D25</f>
        <v>168</v>
      </c>
      <c r="F25" s="57" t="s">
        <v>164</v>
      </c>
    </row>
    <row r="26" customFormat="false" ht="15" hidden="false" customHeight="false" outlineLevel="0" collapsed="false">
      <c r="A26" s="25" t="s">
        <v>165</v>
      </c>
      <c r="B26" s="53" t="n">
        <v>7</v>
      </c>
      <c r="C26" s="53" t="n">
        <v>4</v>
      </c>
      <c r="D26" s="53" t="n">
        <v>4</v>
      </c>
      <c r="E26" s="58" t="n">
        <f aca="false">B26*C26*D26</f>
        <v>112</v>
      </c>
      <c r="F26" s="59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8"/>
  </cols>
  <sheetData>
    <row r="1" customFormat="false" ht="36" hidden="false" customHeight="true" outlineLevel="0" collapsed="false">
      <c r="A1" s="1" t="s">
        <v>167</v>
      </c>
    </row>
    <row r="2" customFormat="false" ht="19.5" hidden="false" customHeight="true" outlineLevel="0" collapsed="false">
      <c r="A2" s="2" t="s">
        <v>168</v>
      </c>
    </row>
    <row r="3" customFormat="false" ht="15.75" hidden="false" customHeight="true" outlineLevel="0" collapsed="false">
      <c r="A3" s="3" t="s">
        <v>169</v>
      </c>
    </row>
    <row r="4" customFormat="false" ht="15.75" hidden="false" customHeight="true" outlineLevel="0" collapsed="false"/>
    <row r="6" customFormat="false" ht="15" hidden="false" customHeight="false" outlineLevel="0" collapsed="false">
      <c r="A6" s="7" t="s">
        <v>170</v>
      </c>
    </row>
    <row r="7" customFormat="false" ht="15" hidden="false" customHeight="false" outlineLevel="0" collapsed="false">
      <c r="A7" s="60" t="s">
        <v>171</v>
      </c>
      <c r="B7" s="61" t="s">
        <v>17</v>
      </c>
    </row>
    <row r="8" customFormat="false" ht="15" hidden="false" customHeight="false" outlineLevel="0" collapsed="false">
      <c r="A8" s="62" t="s">
        <v>172</v>
      </c>
      <c r="B8" s="63" t="s">
        <v>19</v>
      </c>
    </row>
    <row r="9" customFormat="false" ht="15" hidden="false" customHeight="false" outlineLevel="0" collapsed="false">
      <c r="A9" s="60" t="s">
        <v>173</v>
      </c>
      <c r="B9" s="64" t="s">
        <v>174</v>
      </c>
    </row>
    <row r="10" customFormat="false" ht="15" hidden="false" customHeight="false" outlineLevel="0" collapsed="false">
      <c r="A10" s="62" t="s">
        <v>175</v>
      </c>
      <c r="B10" s="65" t="s">
        <v>176</v>
      </c>
    </row>
    <row r="11" customFormat="false" ht="15" hidden="false" customHeight="false" outlineLevel="0" collapsed="false">
      <c r="A11" s="60" t="s">
        <v>177</v>
      </c>
      <c r="B11" s="61" t="s">
        <v>178</v>
      </c>
    </row>
    <row r="12" customFormat="false" ht="15" hidden="false" customHeight="false" outlineLevel="0" collapsed="false">
      <c r="A12" s="62" t="s">
        <v>179</v>
      </c>
      <c r="B12" s="65" t="s">
        <v>180</v>
      </c>
    </row>
    <row r="14" customFormat="false" ht="15" hidden="false" customHeight="false" outlineLevel="0" collapsed="false">
      <c r="A14" s="7" t="s">
        <v>181</v>
      </c>
    </row>
    <row r="15" customFormat="false" ht="15" hidden="false" customHeight="false" outlineLevel="0" collapsed="false">
      <c r="A15" s="11" t="s">
        <v>153</v>
      </c>
      <c r="B15" s="36" t="s">
        <v>182</v>
      </c>
      <c r="C15" s="11" t="s">
        <v>158</v>
      </c>
      <c r="D15" s="11" t="s">
        <v>183</v>
      </c>
    </row>
    <row r="16" customFormat="false" ht="19.5" hidden="false" customHeight="true" outlineLevel="0" collapsed="false">
      <c r="A16" s="49" t="s">
        <v>159</v>
      </c>
      <c r="B16" s="51" t="n">
        <f aca="false">Analysis_2_Shift!E23</f>
        <v>336</v>
      </c>
      <c r="C16" s="16" t="s">
        <v>160</v>
      </c>
      <c r="D16" s="66" t="s">
        <v>184</v>
      </c>
    </row>
    <row r="17" customFormat="false" ht="19.5" hidden="false" customHeight="true" outlineLevel="0" collapsed="false">
      <c r="A17" s="25" t="s">
        <v>161</v>
      </c>
      <c r="B17" s="54" t="n">
        <f aca="false">Analysis_2_Shift!E24</f>
        <v>252</v>
      </c>
      <c r="C17" s="67" t="s">
        <v>162</v>
      </c>
      <c r="D17" s="68" t="s">
        <v>185</v>
      </c>
    </row>
    <row r="18" customFormat="false" ht="19.5" hidden="false" customHeight="true" outlineLevel="0" collapsed="false">
      <c r="A18" s="20" t="s">
        <v>186</v>
      </c>
      <c r="B18" s="56" t="n">
        <f aca="false">Analysis_2_Shift!E25</f>
        <v>168</v>
      </c>
      <c r="C18" s="69" t="s">
        <v>164</v>
      </c>
      <c r="D18" s="66" t="s">
        <v>187</v>
      </c>
    </row>
    <row r="19" customFormat="false" ht="19.5" hidden="false" customHeight="true" outlineLevel="0" collapsed="false">
      <c r="A19" s="25" t="s">
        <v>165</v>
      </c>
      <c r="B19" s="58" t="n">
        <f aca="false">Analysis_2_Shift!E26</f>
        <v>112</v>
      </c>
      <c r="C19" s="70" t="s">
        <v>166</v>
      </c>
      <c r="D19" s="68" t="s">
        <v>188</v>
      </c>
    </row>
    <row r="21" customFormat="false" ht="15" hidden="false" customHeight="false" outlineLevel="0" collapsed="false">
      <c r="A21" s="7" t="s">
        <v>189</v>
      </c>
    </row>
    <row r="22" customFormat="false" ht="15" hidden="false" customHeight="false" outlineLevel="0" collapsed="false">
      <c r="A22" s="71" t="s">
        <v>190</v>
      </c>
    </row>
    <row r="23" customFormat="false" ht="15" hidden="false" customHeight="false" outlineLevel="0" collapsed="false">
      <c r="A23" s="71" t="s">
        <v>191</v>
      </c>
    </row>
    <row r="24" customFormat="false" ht="15" hidden="false" customHeight="false" outlineLevel="0" collapsed="false">
      <c r="A24" s="71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2026-04-24T22:38:11Z</dcterms:created>
  <dc:creator>openpyxl</dc:creator>
  <dc:description/>
  <dc:language>en-US</dc:language>
  <cp:lastModifiedBy/>
  <dcterms:modified xsi:type="dcterms:W3CDTF">2026-04-24T22:38:42Z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