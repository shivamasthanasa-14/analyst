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_Assumptions" sheetId="2" state="visible" r:id="rId4"/>
    <sheet name="Analysis_1_HTA" sheetId="3" state="visible" r:id="rId5"/>
    <sheet name="Analysis_2_Revenue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<sst xmlns="http://schemas.openxmlformats.org/spreadsheetml/2006/main" count="166" uniqueCount="146">
  <si>
    <t xml:space="preserve">Can We Afford to Launch?</t>
  </si>
  <si>
    <t xml:space="preserve">HTA Framework Mapping and Pricing Scenarios for a Specialty Drug — DE, FR, NL</t>
  </si>
  <si>
    <t xml:space="preserve">Sector: Pharma &amp; Life Sciences · Market Access   |   Case: Pharma Case 03 of 04   |   Business Analyst Portfolio</t>
  </si>
  <si>
    <t xml:space="preserve">Sheet</t>
  </si>
  <si>
    <t xml:space="preserve">Contents</t>
  </si>
  <si>
    <t xml:space="preserve">Cover</t>
  </si>
  <si>
    <t xml:space="preserve">Case overview and key outputs</t>
  </si>
  <si>
    <t xml:space="preserve">Data_Assumptions</t>
  </si>
  <si>
    <t xml:space="preserve">HTA framework parameters, IRP basket, price assumptions</t>
  </si>
  <si>
    <t xml:space="preserve">Analysis_1_HTA</t>
  </si>
  <si>
    <t xml:space="preserve">HTA outcome scenarios and net price modelling by market</t>
  </si>
  <si>
    <t xml:space="preserve">Analysis_2_Revenue</t>
  </si>
  <si>
    <t xml:space="preserve">Launch sequence × HTA scenario revenue model (5-year)</t>
  </si>
  <si>
    <t xml:space="preserve">Dashboard</t>
  </si>
  <si>
    <t xml:space="preserve">KPI summary, scenario comparison, strategic recommendation</t>
  </si>
  <si>
    <t xml:space="preserve">KEY OUTPUTS</t>
  </si>
  <si>
    <t xml:space="preserve">Proposed list price</t>
  </si>
  <si>
    <t xml:space="preserve">€85,000/patient/year</t>
  </si>
  <si>
    <t xml:space="preserve">IRP-exposed markets</t>
  </si>
  <si>
    <t xml:space="preserve">26 European markets</t>
  </si>
  <si>
    <t xml:space="preserve">Price corridor at risk</t>
  </si>
  <si>
    <t xml:space="preserve">±€28,000/patient/year</t>
  </si>
  <si>
    <t xml:space="preserve">Best launch sequence (base case)</t>
  </si>
  <si>
    <t xml:space="preserve">Germany first</t>
  </si>
  <si>
    <t xml:space="preserve">5-yr revenue difference (best vs worst sequence)</t>
  </si>
  <si>
    <t xml:space="preserve">€630M</t>
  </si>
  <si>
    <t xml:space="preserve">Minimum French HTA for hurdle rate</t>
  </si>
  <si>
    <t xml:space="preserve">ASMR III</t>
  </si>
  <si>
    <t xml:space="preserve">Sources: G-BA AMNOG reports; HAS Transparency Commission; ZIN Pakketadvies; EURIPID; IQVIA MIDAS</t>
  </si>
  <si>
    <t xml:space="preserve">Data &amp; Assumptions</t>
  </si>
  <si>
    <t xml:space="preserve">HTA framework parameters, price assumptions, IRP basket weighting</t>
  </si>
  <si>
    <t xml:space="preserve">Sector: Pharma &amp; Life Sciences   |   Case: Pharma Case 03 — Market Access   |   Business Analyst Portfolio</t>
  </si>
  <si>
    <t xml:space="preserve">PRICE ASSUMPTIONS BY MARKET AND HTA SCENARIO</t>
  </si>
  <si>
    <t xml:space="preserve">Market</t>
  </si>
  <si>
    <t xml:space="preserve">List Price</t>
  </si>
  <si>
    <t xml:space="preserve">Optimistic Net Price</t>
  </si>
  <si>
    <t xml:space="preserve">Base Case Net Price</t>
  </si>
  <si>
    <t xml:space="preserve">Conservative Net Price</t>
  </si>
  <si>
    <t xml:space="preserve">Germany (AMNOG)</t>
  </si>
  <si>
    <t xml:space="preserve">France (CEPS)</t>
  </si>
  <si>
    <t xml:space="preserve">Netherlands (ZIN)</t>
  </si>
  <si>
    <t xml:space="preserve">HTA FRAMEWORK PARAMETERS</t>
  </si>
  <si>
    <t xml:space="preserve">HTA Body</t>
  </si>
  <si>
    <t xml:space="preserve">Rating System</t>
  </si>
  <si>
    <t xml:space="preserve">Price Mechanism</t>
  </si>
  <si>
    <t xml:space="preserve">Time-to-Reimb.</t>
  </si>
  <si>
    <t xml:space="preserve">IRP Markets Referenced</t>
  </si>
  <si>
    <t xml:space="preserve">Germany</t>
  </si>
  <si>
    <t xml:space="preserve">G-BA</t>
  </si>
  <si>
    <t xml:space="preserve">Benefit rating (major/considerable/minor/no)</t>
  </si>
  <si>
    <t xml:space="preserve">AMNOG negotiation post-assessment</t>
  </si>
  <si>
    <t xml:space="preserve">12–18 months</t>
  </si>
  <si>
    <t xml:space="preserve">14 markets</t>
  </si>
  <si>
    <t xml:space="preserve">France</t>
  </si>
  <si>
    <t xml:space="preserve">HAS</t>
  </si>
  <si>
    <t xml:space="preserve">ASMR I–V (I=major to V=no improvement)</t>
  </si>
  <si>
    <t xml:space="preserve">CEPS price negotiation pre-reimb.</t>
  </si>
  <si>
    <t xml:space="preserve">18–24 months</t>
  </si>
  <si>
    <t xml:space="preserve">12 markets</t>
  </si>
  <si>
    <t xml:space="preserve">Netherlands</t>
  </si>
  <si>
    <t xml:space="preserve">ZIN</t>
  </si>
  <si>
    <t xml:space="preserve">Pakketadvies (conditional reimbursement)</t>
  </si>
  <si>
    <t xml:space="preserve">Managed entry / outcome agreement</t>
  </si>
  <si>
    <t xml:space="preserve">24–36 months</t>
  </si>
  <si>
    <t xml:space="preserve">6 markets</t>
  </si>
  <si>
    <t xml:space="preserve">MARKET AND PATIENT ASSUMPTIONS</t>
  </si>
  <si>
    <t xml:space="preserve">Parameter</t>
  </si>
  <si>
    <t xml:space="preserve">Value</t>
  </si>
  <si>
    <t xml:space="preserve">Source / Note</t>
  </si>
  <si>
    <t xml:space="preserve">Eligible EU patient pool (annual)</t>
  </si>
  <si>
    <t xml:space="preserve">~14,200</t>
  </si>
  <si>
    <t xml:space="preserve">IQVIA MIDAS; biomarker prevalence estimate</t>
  </si>
  <si>
    <t xml:space="preserve">Proposed list price (EUR/pt/yr)</t>
  </si>
  <si>
    <t xml:space="preserve">€85,000</t>
  </si>
  <si>
    <t xml:space="preserve">Company pricing committee decision</t>
  </si>
  <si>
    <t xml:space="preserve">Peak market penetration assumption</t>
  </si>
  <si>
    <t xml:space="preserve">35% of eligible patients</t>
  </si>
  <si>
    <t xml:space="preserve">IQVIA analogue analysis</t>
  </si>
  <si>
    <t xml:space="preserve">Analogue products used</t>
  </si>
  <si>
    <t xml:space="preserve">8 oncology products, DE/FR/NL 2019–2023</t>
  </si>
  <si>
    <t xml:space="preserve">IQVIA MIDAS</t>
  </si>
  <si>
    <t xml:space="preserve">IRP markets in scope</t>
  </si>
  <si>
    <t xml:space="preserve">EURIPID database</t>
  </si>
  <si>
    <t xml:space="preserve">Lead time: Germany before France</t>
  </si>
  <si>
    <t xml:space="preserve">Minimum 6 months</t>
  </si>
  <si>
    <t xml:space="preserve">Sequencing recommendation</t>
  </si>
  <si>
    <t xml:space="preserve">Analysis 1 — HTA Outcome Scenarios &amp; Net Price</t>
  </si>
  <si>
    <t xml:space="preserve">Probability-weighted benefit assessment outcomes and achieved net price by market</t>
  </si>
  <si>
    <t xml:space="preserve">Sector: Pharma &amp; Life Sciences   |   Case: Pharma Case 03 — Steps 1 &amp; 2   |   Business Analyst Portfolio</t>
  </si>
  <si>
    <t xml:space="preserve">HTA OUTCOME PROBABILITY BY MARKET (%)</t>
  </si>
  <si>
    <t xml:space="preserve">Optimistic P(%)</t>
  </si>
  <si>
    <t xml:space="preserve">Base Case P(%)</t>
  </si>
  <si>
    <t xml:space="preserve">Conservative P(%)</t>
  </si>
  <si>
    <t xml:space="preserve">Key Risk Factor</t>
  </si>
  <si>
    <t xml:space="preserve">Immature OS data — comparator definition risk</t>
  </si>
  <si>
    <t xml:space="preserve">France (HAS)</t>
  </si>
  <si>
    <t xml:space="preserve">PFS primary endpoint — ASMR III/IV risk</t>
  </si>
  <si>
    <t xml:space="preserve">Cost-effectiveness model maturity</t>
  </si>
  <si>
    <t xml:space="preserve">NET PRICE SCENARIOS — ANALOGUE BENCHMARKING (€/PATIENT/YEAR)</t>
  </si>
  <si>
    <t xml:space="preserve">Optimistic Net</t>
  </si>
  <si>
    <t xml:space="preserve">Base Case Net</t>
  </si>
  <si>
    <t xml:space="preserve">Conservative Net</t>
  </si>
  <si>
    <t xml:space="preserve">Discount from List (Base)</t>
  </si>
  <si>
    <t xml:space="preserve">Analysis 2 — Launch Sequence Revenue Model</t>
  </si>
  <si>
    <t xml:space="preserve">5-year cumulative EU revenue by launch sequence and HTA outcome scenario (€M)</t>
  </si>
  <si>
    <t xml:space="preserve">Sector: Pharma &amp; Life Sciences   |   Case: Pharma Case 03 — Step 4   |   Business Analyst Portfolio</t>
  </si>
  <si>
    <t xml:space="preserve">5-YEAR CUMULATIVE EU REVENUE BY LAUNCH SEQUENCE AND HTA SCENARIO (€M)</t>
  </si>
  <si>
    <t xml:space="preserve">Launch Sequence</t>
  </si>
  <si>
    <t xml:space="preserve">Optimistic HTA (€M)</t>
  </si>
  <si>
    <t xml:space="preserve">Base Case HTA (€M)</t>
  </si>
  <si>
    <t xml:space="preserve">Conservative HTA (€M)</t>
  </si>
  <si>
    <t xml:space="preserve">Best/Worst Gap</t>
  </si>
  <si>
    <t xml:space="preserve">Recommendation</t>
  </si>
  <si>
    <t xml:space="preserve">Germany First</t>
  </si>
  <si>
    <t xml:space="preserve">Recommended</t>
  </si>
  <si>
    <t xml:space="preserve">Simultaneous DE+FR+NL</t>
  </si>
  <si>
    <t xml:space="preserve">Sub-optimal</t>
  </si>
  <si>
    <t xml:space="preserve">Netherlands First</t>
  </si>
  <si>
    <t xml:space="preserve">France First</t>
  </si>
  <si>
    <t xml:space="preserve">Avoid</t>
  </si>
  <si>
    <t xml:space="preserve">HEADLINE CALCULATION</t>
  </si>
  <si>
    <t xml:space="preserve">Revenue difference — Germany First vs France First (base case)</t>
  </si>
  <si>
    <t xml:space="preserve">Dashboard — Market Access &amp; Launch Pricing</t>
  </si>
  <si>
    <t xml:space="preserve">Executive summary: HTA scenarios, IRP risks, launch sequence recommendation</t>
  </si>
  <si>
    <t xml:space="preserve">Sector: Market Access · Specialty Oncology   |   Case: Pharma Case 03 · Pharma &amp; Life Sciences   |   Business Analyst Portfolio</t>
  </si>
  <si>
    <t xml:space="preserve">KEY METRICS</t>
  </si>
  <si>
    <t xml:space="preserve">Proposed List Price</t>
  </si>
  <si>
    <t xml:space="preserve">€85,000/pt/yr</t>
  </si>
  <si>
    <t xml:space="preserve">IRP-Exposed Markets</t>
  </si>
  <si>
    <t xml:space="preserve">EU Eligible Patients (annual)</t>
  </si>
  <si>
    <t xml:space="preserve">Price Corridor at Risk</t>
  </si>
  <si>
    <t xml:space="preserve">±€28,000/pt/yr</t>
  </si>
  <si>
    <t xml:space="preserve">Best Sequence (base case)</t>
  </si>
  <si>
    <t xml:space="preserve">Germany First — €1.84Bn/5yr</t>
  </si>
  <si>
    <t xml:space="preserve">5-yr Revenue at Risk (sequencing)</t>
  </si>
  <si>
    <t xml:space="preserve">€630M (DE first vs FR first)</t>
  </si>
  <si>
    <t xml:space="preserve">SCENARIO COMPARISON — BASE CASE HTA</t>
  </si>
  <si>
    <t xml:space="preserve">5-yr Revenue (€M)</t>
  </si>
  <si>
    <t xml:space="preserve">vs Germany First</t>
  </si>
  <si>
    <t xml:space="preserve">—</t>
  </si>
  <si>
    <t xml:space="preserve">RECOMMENDED</t>
  </si>
  <si>
    <t xml:space="preserve">Simultaneous</t>
  </si>
  <si>
    <t xml:space="preserve">–€190M</t>
  </si>
  <si>
    <t xml:space="preserve">–€360M</t>
  </si>
  <si>
    <t xml:space="preserve">–€630M</t>
  </si>
  <si>
    <t xml:space="preserve">AVOID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</si>
</sst>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"/>
    <numFmt numFmtId="166" formatCode="0%"/>
    <numFmt numFmtId="167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F6E"/>
      <name val="Arial"/>
      <family val="0"/>
      <charset val="1"/>
    </font>
    <font>
      <i val="true"/>
      <sz val="11"/>
      <color rgb="FF6B6860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3F6E"/>
      <name val="Arial"/>
      <family val="0"/>
      <charset val="1"/>
    </font>
    <font>
      <sz val="10"/>
      <color rgb="FF6B6860"/>
      <name val="Arial"/>
      <family val="0"/>
      <charset val="1"/>
    </font>
    <font>
      <b val="true"/>
      <sz val="9"/>
      <color rgb="FF1C3F6E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81818"/>
      <name val="Arial"/>
      <family val="0"/>
      <charset val="1"/>
    </font>
    <font>
      <sz val="10"/>
      <color rgb="FF2E7D55"/>
      <name val="Arial"/>
      <family val="0"/>
      <charset val="1"/>
    </font>
    <font>
      <sz val="10"/>
      <color rgb="FF1C3F6E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9"/>
      <color rgb="FF181818"/>
      <name val="Arial"/>
      <family val="0"/>
      <charset val="1"/>
    </font>
    <font>
      <sz val="9"/>
      <color rgb="FF181818"/>
      <name val="Arial"/>
      <family val="0"/>
      <charset val="1"/>
    </font>
    <font>
      <i val="true"/>
      <sz val="9"/>
      <color rgb="FF6B6860"/>
      <name val="Arial"/>
      <family val="0"/>
      <charset val="1"/>
    </font>
    <font>
      <b val="true"/>
      <sz val="10"/>
      <color rgb="FF2E7D55"/>
      <name val="Arial"/>
      <family val="0"/>
      <charset val="1"/>
    </font>
    <font>
      <b val="true"/>
      <sz val="9"/>
      <color rgb="FF2E7D55"/>
      <name val="Arial"/>
      <family val="0"/>
      <charset val="1"/>
    </font>
    <font>
      <sz val="10"/>
      <color rgb="FF181818"/>
      <name val="Arial"/>
      <family val="0"/>
      <charset val="1"/>
    </font>
    <font>
      <b val="true"/>
      <sz val="9"/>
      <color rgb="FFC07A1A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C07A1A"/>
      <name val="Arial"/>
      <family val="0"/>
      <charset val="1"/>
    </font>
    <font>
      <b val="true"/>
      <sz val="10"/>
      <color rgb="FFC0392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F6E"/>
        <bgColor rgb="FF333399"/>
      </patternFill>
    </fill>
    <fill>
      <patternFill patternType="solid">
        <fgColor rgb="FFEBF0F8"/>
        <bgColor rgb="FFF5F4F0"/>
      </patternFill>
    </fill>
    <fill>
      <patternFill patternType="solid">
        <fgColor rgb="FFF5F4F0"/>
        <bgColor rgb="FFEBF0F8"/>
      </patternFill>
    </fill>
    <fill>
      <patternFill patternType="solid">
        <fgColor rgb="FFFFFFFF"/>
        <bgColor rgb="FFF5F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/>
      <right/>
      <top/>
      <bottom style="thin">
        <color rgb="FFD0CEC6"/>
      </bottom>
      <diagonal/>
    </border>
    <border diagonalUp="false" diagonalDown="false">
      <left/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1A"/>
      <rgbColor rgb="FF800080"/>
      <rgbColor rgb="FF008080"/>
      <rgbColor rgb="FFD0CEC6"/>
      <rgbColor rgb="FF808080"/>
      <rgbColor rgb="FF9999FF"/>
      <rgbColor rgb="FF993366"/>
      <rgbColor rgb="FFF5F4F0"/>
      <rgbColor rgb="FFEB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860"/>
      <rgbColor rgb="FF969696"/>
      <rgbColor rgb="FF1C3F6E"/>
      <rgbColor rgb="FF2E7D55"/>
      <rgbColor rgb="FF181818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</cols>
  <sheetData>
    <row r="1" customFormat="false" ht="36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15.75" hidden="false" customHeight="true" outlineLevel="0" collapsed="false">
      <c r="A3" s="3" t="s">
        <v>2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5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6" t="s">
        <v>14</v>
      </c>
    </row>
    <row r="13" customFormat="false" ht="15" hidden="false" customHeight="false" outlineLevel="0" collapsed="false">
      <c r="A13" s="7" t="s">
        <v>15</v>
      </c>
    </row>
    <row r="14" customFormat="false" ht="15" hidden="false" customHeight="false" outlineLevel="0" collapsed="false">
      <c r="A14" s="8" t="s">
        <v>16</v>
      </c>
      <c r="B14" s="9" t="s">
        <v>17</v>
      </c>
    </row>
    <row r="15" customFormat="false" ht="15" hidden="false" customHeight="false" outlineLevel="0" collapsed="false">
      <c r="A15" s="8" t="s">
        <v>18</v>
      </c>
      <c r="B15" s="9" t="s">
        <v>19</v>
      </c>
    </row>
    <row r="16" customFormat="false" ht="15" hidden="false" customHeight="false" outlineLevel="0" collapsed="false">
      <c r="A16" s="8" t="s">
        <v>20</v>
      </c>
      <c r="B16" s="9" t="s">
        <v>21</v>
      </c>
    </row>
    <row r="17" customFormat="false" ht="15" hidden="false" customHeight="false" outlineLevel="0" collapsed="false">
      <c r="A17" s="8" t="s">
        <v>22</v>
      </c>
      <c r="B17" s="9" t="s">
        <v>23</v>
      </c>
    </row>
    <row r="18" customFormat="false" ht="15" hidden="false" customHeight="false" outlineLevel="0" collapsed="false">
      <c r="A18" s="8" t="s">
        <v>24</v>
      </c>
      <c r="B18" s="9" t="s">
        <v>25</v>
      </c>
    </row>
    <row r="19" customFormat="false" ht="15" hidden="false" customHeight="false" outlineLevel="0" collapsed="false">
      <c r="A19" s="8" t="s">
        <v>26</v>
      </c>
      <c r="B19" s="9" t="s">
        <v>27</v>
      </c>
    </row>
    <row r="21" customFormat="false" ht="15" hidden="false" customHeight="false" outlineLevel="0" collapsed="false">
      <c r="A21" s="1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24"/>
  </cols>
  <sheetData>
    <row r="1" customFormat="false" ht="36" hidden="false" customHeight="true" outlineLevel="0" collapsed="false">
      <c r="A1" s="1" t="s">
        <v>29</v>
      </c>
    </row>
    <row r="2" customFormat="false" ht="19.5" hidden="false" customHeight="true" outlineLevel="0" collapsed="false">
      <c r="A2" s="2" t="s">
        <v>30</v>
      </c>
    </row>
    <row r="3" customFormat="false" ht="15.75" hidden="false" customHeight="true" outlineLevel="0" collapsed="false">
      <c r="A3" s="3" t="s">
        <v>31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32</v>
      </c>
    </row>
    <row r="7" customFormat="false" ht="15" hidden="false" customHeight="false" outlineLevel="0" collapsed="false">
      <c r="A7" s="11" t="s">
        <v>33</v>
      </c>
      <c r="B7" s="12" t="s">
        <v>34</v>
      </c>
      <c r="C7" s="12" t="s">
        <v>35</v>
      </c>
      <c r="D7" s="12" t="s">
        <v>36</v>
      </c>
      <c r="E7" s="12" t="s">
        <v>37</v>
      </c>
    </row>
    <row r="8" customFormat="false" ht="15" hidden="false" customHeight="false" outlineLevel="0" collapsed="false">
      <c r="A8" s="13" t="s">
        <v>38</v>
      </c>
      <c r="B8" s="14" t="n">
        <v>85000</v>
      </c>
      <c r="C8" s="15" t="n">
        <v>72000</v>
      </c>
      <c r="D8" s="16" t="n">
        <v>55000</v>
      </c>
      <c r="E8" s="17" t="n">
        <v>44000</v>
      </c>
    </row>
    <row r="9" customFormat="false" ht="15" hidden="false" customHeight="false" outlineLevel="0" collapsed="false">
      <c r="A9" s="18" t="s">
        <v>39</v>
      </c>
      <c r="B9" s="19" t="n">
        <v>85000</v>
      </c>
      <c r="C9" s="20" t="n">
        <v>68000</v>
      </c>
      <c r="D9" s="21" t="n">
        <v>58000</v>
      </c>
      <c r="E9" s="22" t="n">
        <v>49000</v>
      </c>
    </row>
    <row r="10" customFormat="false" ht="15" hidden="false" customHeight="false" outlineLevel="0" collapsed="false">
      <c r="A10" s="13" t="s">
        <v>40</v>
      </c>
      <c r="B10" s="14" t="n">
        <v>85000</v>
      </c>
      <c r="C10" s="15" t="n">
        <v>65000</v>
      </c>
      <c r="D10" s="16" t="n">
        <v>54000</v>
      </c>
      <c r="E10" s="17" t="n">
        <v>46000</v>
      </c>
    </row>
    <row r="12" customFormat="false" ht="15" hidden="false" customHeight="false" outlineLevel="0" collapsed="false">
      <c r="A12" s="7" t="s">
        <v>41</v>
      </c>
    </row>
    <row r="13" customFormat="false" ht="15" hidden="false" customHeight="false" outlineLevel="0" collapsed="false">
      <c r="A13" s="11" t="s">
        <v>33</v>
      </c>
      <c r="B13" s="11" t="s">
        <v>42</v>
      </c>
      <c r="C13" s="11" t="s">
        <v>43</v>
      </c>
      <c r="D13" s="11" t="s">
        <v>44</v>
      </c>
      <c r="E13" s="11" t="s">
        <v>45</v>
      </c>
      <c r="F13" s="11" t="s">
        <v>46</v>
      </c>
    </row>
    <row r="14" customFormat="false" ht="30" hidden="false" customHeight="true" outlineLevel="0" collapsed="false">
      <c r="A14" s="23" t="s">
        <v>47</v>
      </c>
      <c r="B14" s="24" t="s">
        <v>48</v>
      </c>
      <c r="C14" s="25" t="s">
        <v>49</v>
      </c>
      <c r="D14" s="25" t="s">
        <v>50</v>
      </c>
      <c r="E14" s="24" t="s">
        <v>51</v>
      </c>
      <c r="F14" s="24" t="s">
        <v>52</v>
      </c>
    </row>
    <row r="15" customFormat="false" ht="30" hidden="false" customHeight="true" outlineLevel="0" collapsed="false">
      <c r="A15" s="26" t="s">
        <v>53</v>
      </c>
      <c r="B15" s="27" t="s">
        <v>54</v>
      </c>
      <c r="C15" s="28" t="s">
        <v>55</v>
      </c>
      <c r="D15" s="28" t="s">
        <v>56</v>
      </c>
      <c r="E15" s="27" t="s">
        <v>57</v>
      </c>
      <c r="F15" s="27" t="s">
        <v>58</v>
      </c>
    </row>
    <row r="16" customFormat="false" ht="30" hidden="false" customHeight="true" outlineLevel="0" collapsed="false">
      <c r="A16" s="23" t="s">
        <v>59</v>
      </c>
      <c r="B16" s="24" t="s">
        <v>60</v>
      </c>
      <c r="C16" s="25" t="s">
        <v>61</v>
      </c>
      <c r="D16" s="25" t="s">
        <v>62</v>
      </c>
      <c r="E16" s="24" t="s">
        <v>63</v>
      </c>
      <c r="F16" s="24" t="s">
        <v>64</v>
      </c>
    </row>
    <row r="18" customFormat="false" ht="15" hidden="false" customHeight="false" outlineLevel="0" collapsed="false">
      <c r="A18" s="7" t="s">
        <v>65</v>
      </c>
    </row>
    <row r="19" customFormat="false" ht="15" hidden="false" customHeight="false" outlineLevel="0" collapsed="false">
      <c r="A19" s="11" t="s">
        <v>66</v>
      </c>
      <c r="B19" s="11" t="s">
        <v>67</v>
      </c>
      <c r="C19" s="11" t="s">
        <v>68</v>
      </c>
    </row>
    <row r="20" customFormat="false" ht="15" hidden="false" customHeight="false" outlineLevel="0" collapsed="false">
      <c r="A20" s="24" t="s">
        <v>69</v>
      </c>
      <c r="B20" s="29" t="s">
        <v>70</v>
      </c>
      <c r="C20" s="30" t="s">
        <v>71</v>
      </c>
    </row>
    <row r="21" customFormat="false" ht="15" hidden="false" customHeight="false" outlineLevel="0" collapsed="false">
      <c r="A21" s="27" t="s">
        <v>72</v>
      </c>
      <c r="B21" s="31" t="s">
        <v>73</v>
      </c>
      <c r="C21" s="32" t="s">
        <v>74</v>
      </c>
    </row>
    <row r="22" customFormat="false" ht="15" hidden="false" customHeight="false" outlineLevel="0" collapsed="false">
      <c r="A22" s="24" t="s">
        <v>75</v>
      </c>
      <c r="B22" s="29" t="s">
        <v>76</v>
      </c>
      <c r="C22" s="30" t="s">
        <v>77</v>
      </c>
    </row>
    <row r="23" customFormat="false" ht="15" hidden="false" customHeight="false" outlineLevel="0" collapsed="false">
      <c r="A23" s="27" t="s">
        <v>78</v>
      </c>
      <c r="B23" s="31" t="s">
        <v>79</v>
      </c>
      <c r="C23" s="32" t="s">
        <v>80</v>
      </c>
    </row>
    <row r="24" customFormat="false" ht="15" hidden="false" customHeight="false" outlineLevel="0" collapsed="false">
      <c r="A24" s="24" t="s">
        <v>81</v>
      </c>
      <c r="B24" s="29" t="s">
        <v>19</v>
      </c>
      <c r="C24" s="30" t="s">
        <v>82</v>
      </c>
    </row>
    <row r="25" customFormat="false" ht="15" hidden="false" customHeight="false" outlineLevel="0" collapsed="false">
      <c r="A25" s="27" t="s">
        <v>83</v>
      </c>
      <c r="B25" s="31" t="s">
        <v>84</v>
      </c>
      <c r="C25" s="3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24"/>
  </cols>
  <sheetData>
    <row r="1" customFormat="false" ht="36" hidden="false" customHeight="true" outlineLevel="0" collapsed="false">
      <c r="A1" s="1" t="s">
        <v>86</v>
      </c>
    </row>
    <row r="2" customFormat="false" ht="19.5" hidden="false" customHeight="true" outlineLevel="0" collapsed="false">
      <c r="A2" s="2" t="s">
        <v>87</v>
      </c>
    </row>
    <row r="3" customFormat="false" ht="15.75" hidden="false" customHeight="true" outlineLevel="0" collapsed="false">
      <c r="A3" s="3" t="s">
        <v>88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89</v>
      </c>
    </row>
    <row r="7" customFormat="false" ht="15" hidden="false" customHeight="false" outlineLevel="0" collapsed="false">
      <c r="A7" s="11" t="s">
        <v>33</v>
      </c>
      <c r="B7" s="11" t="s">
        <v>90</v>
      </c>
      <c r="C7" s="11" t="s">
        <v>91</v>
      </c>
      <c r="D7" s="11" t="s">
        <v>92</v>
      </c>
      <c r="E7" s="11" t="s">
        <v>93</v>
      </c>
    </row>
    <row r="8" customFormat="false" ht="15" hidden="false" customHeight="false" outlineLevel="0" collapsed="false">
      <c r="A8" s="13" t="s">
        <v>38</v>
      </c>
      <c r="B8" s="33" t="n">
        <v>0.3</v>
      </c>
      <c r="C8" s="34" t="n">
        <v>0.45</v>
      </c>
      <c r="D8" s="35" t="n">
        <v>0.25</v>
      </c>
      <c r="E8" s="36" t="s">
        <v>94</v>
      </c>
    </row>
    <row r="9" customFormat="false" ht="15" hidden="false" customHeight="false" outlineLevel="0" collapsed="false">
      <c r="A9" s="18" t="s">
        <v>95</v>
      </c>
      <c r="B9" s="37" t="n">
        <v>0.2</v>
      </c>
      <c r="C9" s="38" t="n">
        <v>0.5</v>
      </c>
      <c r="D9" s="39" t="n">
        <v>0.3</v>
      </c>
      <c r="E9" s="40" t="s">
        <v>96</v>
      </c>
    </row>
    <row r="10" customFormat="false" ht="15" hidden="false" customHeight="false" outlineLevel="0" collapsed="false">
      <c r="A10" s="13" t="s">
        <v>40</v>
      </c>
      <c r="B10" s="33" t="n">
        <v>0.35</v>
      </c>
      <c r="C10" s="34" t="n">
        <v>0.45</v>
      </c>
      <c r="D10" s="35" t="n">
        <v>0.2</v>
      </c>
      <c r="E10" s="36" t="s">
        <v>97</v>
      </c>
    </row>
    <row r="12" customFormat="false" ht="15" hidden="false" customHeight="false" outlineLevel="0" collapsed="false">
      <c r="A12" s="7" t="s">
        <v>98</v>
      </c>
    </row>
    <row r="13" customFormat="false" ht="15" hidden="false" customHeight="false" outlineLevel="0" collapsed="false">
      <c r="A13" s="11" t="s">
        <v>33</v>
      </c>
      <c r="B13" s="12" t="s">
        <v>34</v>
      </c>
      <c r="C13" s="12" t="s">
        <v>99</v>
      </c>
      <c r="D13" s="12" t="s">
        <v>100</v>
      </c>
      <c r="E13" s="12" t="s">
        <v>101</v>
      </c>
      <c r="F13" s="12" t="s">
        <v>102</v>
      </c>
    </row>
    <row r="14" customFormat="false" ht="15" hidden="false" customHeight="false" outlineLevel="0" collapsed="false">
      <c r="A14" s="13" t="s">
        <v>38</v>
      </c>
      <c r="B14" s="17" t="n">
        <v>85000</v>
      </c>
      <c r="C14" s="15" t="n">
        <v>72000</v>
      </c>
      <c r="D14" s="16" t="n">
        <v>55000</v>
      </c>
      <c r="E14" s="17" t="n">
        <v>44000</v>
      </c>
      <c r="F14" s="41" t="n">
        <f aca="false">(D14-B14)/B14</f>
        <v>-0.352941176470588</v>
      </c>
    </row>
    <row r="15" customFormat="false" ht="15" hidden="false" customHeight="false" outlineLevel="0" collapsed="false">
      <c r="A15" s="18" t="s">
        <v>39</v>
      </c>
      <c r="B15" s="22" t="n">
        <v>85000</v>
      </c>
      <c r="C15" s="20" t="n">
        <v>68000</v>
      </c>
      <c r="D15" s="21" t="n">
        <v>58000</v>
      </c>
      <c r="E15" s="22" t="n">
        <v>49000</v>
      </c>
      <c r="F15" s="42" t="n">
        <f aca="false">(D15-B15)/B15</f>
        <v>-0.317647058823529</v>
      </c>
    </row>
    <row r="16" customFormat="false" ht="15" hidden="false" customHeight="false" outlineLevel="0" collapsed="false">
      <c r="A16" s="13" t="s">
        <v>40</v>
      </c>
      <c r="B16" s="17" t="n">
        <v>85000</v>
      </c>
      <c r="C16" s="15" t="n">
        <v>65000</v>
      </c>
      <c r="D16" s="16" t="n">
        <v>54000</v>
      </c>
      <c r="E16" s="17" t="n">
        <v>46000</v>
      </c>
      <c r="F16" s="41" t="n">
        <f aca="false">(D16-B16)/B16</f>
        <v>-0.364705882352941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36" hidden="false" customHeight="true" outlineLevel="0" collapsed="false">
      <c r="A1" s="1" t="s">
        <v>103</v>
      </c>
    </row>
    <row r="2" customFormat="false" ht="19.5" hidden="false" customHeight="true" outlineLevel="0" collapsed="false">
      <c r="A2" s="2" t="s">
        <v>104</v>
      </c>
    </row>
    <row r="3" customFormat="false" ht="15.75" hidden="false" customHeight="true" outlineLevel="0" collapsed="false">
      <c r="A3" s="3" t="s">
        <v>105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106</v>
      </c>
    </row>
    <row r="7" customFormat="false" ht="15" hidden="false" customHeight="false" outlineLevel="0" collapsed="false">
      <c r="A7" s="11" t="s">
        <v>107</v>
      </c>
      <c r="B7" s="12" t="s">
        <v>108</v>
      </c>
      <c r="C7" s="12" t="s">
        <v>109</v>
      </c>
      <c r="D7" s="12" t="s">
        <v>110</v>
      </c>
      <c r="E7" s="12" t="s">
        <v>111</v>
      </c>
      <c r="F7" s="11" t="s">
        <v>112</v>
      </c>
    </row>
    <row r="8" customFormat="false" ht="15" hidden="false" customHeight="false" outlineLevel="0" collapsed="false">
      <c r="A8" s="43" t="s">
        <v>113</v>
      </c>
      <c r="B8" s="44" t="n">
        <v>2420</v>
      </c>
      <c r="C8" s="45" t="n">
        <v>1840</v>
      </c>
      <c r="D8" s="45" t="n">
        <v>1120</v>
      </c>
      <c r="E8" s="14" t="n">
        <f aca="false">B8-D8</f>
        <v>1300</v>
      </c>
      <c r="F8" s="46" t="s">
        <v>114</v>
      </c>
    </row>
    <row r="9" customFormat="false" ht="15" hidden="false" customHeight="false" outlineLevel="0" collapsed="false">
      <c r="A9" s="47" t="s">
        <v>115</v>
      </c>
      <c r="B9" s="21" t="n">
        <v>2180</v>
      </c>
      <c r="C9" s="21" t="n">
        <v>1650</v>
      </c>
      <c r="D9" s="21" t="n">
        <v>980</v>
      </c>
      <c r="E9" s="19" t="n">
        <f aca="false">B9-D9</f>
        <v>1200</v>
      </c>
      <c r="F9" s="48" t="s">
        <v>116</v>
      </c>
    </row>
    <row r="10" customFormat="false" ht="15" hidden="false" customHeight="false" outlineLevel="0" collapsed="false">
      <c r="A10" s="49" t="s">
        <v>117</v>
      </c>
      <c r="B10" s="16" t="n">
        <v>1980</v>
      </c>
      <c r="C10" s="16" t="n">
        <v>1480</v>
      </c>
      <c r="D10" s="16" t="n">
        <v>870</v>
      </c>
      <c r="E10" s="14" t="n">
        <f aca="false">B10-D10</f>
        <v>1110</v>
      </c>
      <c r="F10" s="50" t="s">
        <v>116</v>
      </c>
    </row>
    <row r="11" customFormat="false" ht="15" hidden="false" customHeight="false" outlineLevel="0" collapsed="false">
      <c r="A11" s="51" t="s">
        <v>118</v>
      </c>
      <c r="B11" s="21" t="n">
        <v>1560</v>
      </c>
      <c r="C11" s="21" t="n">
        <v>1210</v>
      </c>
      <c r="D11" s="22" t="n">
        <v>690</v>
      </c>
      <c r="E11" s="19" t="n">
        <f aca="false">B11-D11</f>
        <v>870</v>
      </c>
      <c r="F11" s="52" t="s">
        <v>119</v>
      </c>
    </row>
    <row r="13" customFormat="false" ht="15" hidden="false" customHeight="false" outlineLevel="0" collapsed="false">
      <c r="A13" s="7" t="s">
        <v>120</v>
      </c>
    </row>
    <row r="14" customFormat="false" ht="15" hidden="false" customHeight="false" outlineLevel="0" collapsed="false">
      <c r="A14" s="8" t="s">
        <v>121</v>
      </c>
      <c r="B14" s="53" t="n">
        <f aca="false">C8-C11</f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</cols>
  <sheetData>
    <row r="1" customFormat="false" ht="36" hidden="false" customHeight="true" outlineLevel="0" collapsed="false">
      <c r="A1" s="1" t="s">
        <v>122</v>
      </c>
    </row>
    <row r="2" customFormat="false" ht="19.5" hidden="false" customHeight="true" outlineLevel="0" collapsed="false">
      <c r="A2" s="2" t="s">
        <v>123</v>
      </c>
    </row>
    <row r="3" customFormat="false" ht="15.75" hidden="false" customHeight="true" outlineLevel="0" collapsed="false">
      <c r="A3" s="3" t="s">
        <v>124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125</v>
      </c>
    </row>
    <row r="7" customFormat="false" ht="15" hidden="false" customHeight="false" outlineLevel="0" collapsed="false">
      <c r="A7" s="54" t="s">
        <v>126</v>
      </c>
      <c r="B7" s="55" t="s">
        <v>127</v>
      </c>
    </row>
    <row r="8" customFormat="false" ht="15" hidden="false" customHeight="false" outlineLevel="0" collapsed="false">
      <c r="A8" s="56" t="s">
        <v>128</v>
      </c>
      <c r="B8" s="57" t="s">
        <v>19</v>
      </c>
    </row>
    <row r="9" customFormat="false" ht="15" hidden="false" customHeight="false" outlineLevel="0" collapsed="false">
      <c r="A9" s="54" t="s">
        <v>129</v>
      </c>
      <c r="B9" s="55" t="s">
        <v>70</v>
      </c>
    </row>
    <row r="10" customFormat="false" ht="15" hidden="false" customHeight="false" outlineLevel="0" collapsed="false">
      <c r="A10" s="56" t="s">
        <v>130</v>
      </c>
      <c r="B10" s="58" t="s">
        <v>131</v>
      </c>
    </row>
    <row r="11" customFormat="false" ht="15" hidden="false" customHeight="false" outlineLevel="0" collapsed="false">
      <c r="A11" s="54" t="s">
        <v>132</v>
      </c>
      <c r="B11" s="59" t="s">
        <v>133</v>
      </c>
    </row>
    <row r="12" customFormat="false" ht="15" hidden="false" customHeight="false" outlineLevel="0" collapsed="false">
      <c r="A12" s="56" t="s">
        <v>134</v>
      </c>
      <c r="B12" s="58" t="s">
        <v>135</v>
      </c>
    </row>
    <row r="14" customFormat="false" ht="15" hidden="false" customHeight="false" outlineLevel="0" collapsed="false">
      <c r="A14" s="7" t="s">
        <v>136</v>
      </c>
    </row>
    <row r="15" customFormat="false" ht="15" hidden="false" customHeight="false" outlineLevel="0" collapsed="false">
      <c r="A15" s="4" t="s">
        <v>107</v>
      </c>
      <c r="B15" s="60" t="s">
        <v>137</v>
      </c>
      <c r="C15" s="4" t="s">
        <v>138</v>
      </c>
      <c r="D15" s="4" t="s">
        <v>112</v>
      </c>
    </row>
    <row r="16" customFormat="false" ht="15" hidden="false" customHeight="false" outlineLevel="0" collapsed="false">
      <c r="A16" s="43" t="s">
        <v>113</v>
      </c>
      <c r="B16" s="59" t="n">
        <v>1840</v>
      </c>
      <c r="C16" s="61" t="s">
        <v>139</v>
      </c>
      <c r="D16" s="46" t="s">
        <v>140</v>
      </c>
    </row>
    <row r="17" customFormat="false" ht="15" hidden="false" customHeight="false" outlineLevel="0" collapsed="false">
      <c r="A17" s="47" t="s">
        <v>141</v>
      </c>
      <c r="B17" s="62" t="n">
        <v>1650</v>
      </c>
      <c r="C17" s="63" t="s">
        <v>142</v>
      </c>
      <c r="D17" s="48" t="s">
        <v>116</v>
      </c>
    </row>
    <row r="18" customFormat="false" ht="15" hidden="false" customHeight="false" outlineLevel="0" collapsed="false">
      <c r="A18" s="49" t="s">
        <v>117</v>
      </c>
      <c r="B18" s="55" t="n">
        <v>1480</v>
      </c>
      <c r="C18" s="64" t="s">
        <v>143</v>
      </c>
      <c r="D18" s="50" t="s">
        <v>116</v>
      </c>
    </row>
    <row r="19" customFormat="false" ht="15" hidden="false" customHeight="false" outlineLevel="0" collapsed="false">
      <c r="A19" s="51" t="s">
        <v>118</v>
      </c>
      <c r="B19" s="58" t="n">
        <v>1210</v>
      </c>
      <c r="C19" s="63" t="s">
        <v>144</v>
      </c>
      <c r="D19" s="5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2026-04-24T22:38:11Z</dcterms:created>
  <dc:creator>openpyxl</dc:creator>
  <dc:description/>
  <dc:language>en-US</dc:language>
  <cp:lastModifiedBy/>
  <dcterms:modified xsi:type="dcterms:W3CDTF">2026-04-24T22:38:11Z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