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Data_Assumptions" sheetId="2" state="visible" r:id="rId4"/>
    <sheet name="Analysis_1_DataFlow" sheetId="3" state="visible" r:id="rId5"/>
    <sheet name="Analysis_2_Engagement" sheetId="4" state="visible" r:id="rId6"/>
    <sheet name="Dashboard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<sst xmlns="http://schemas.openxmlformats.org/spreadsheetml/2006/main" count="175" uniqueCount="150">
  <si>
    <t xml:space="preserve">Why Are We Losing HCPs?</t>
  </si>
  <si>
    <t xml:space="preserve">Fragmented HCP Data and the Engagement Gap — Data Flow &amp; Gap Analysis</t>
  </si>
  <si>
    <t xml:space="preserve">Sector: Pharma &amp; Life Sciences · Commercial Operations   |   Case: Pharma Case 02 of 04   |   Business Analyst Portfolio</t>
  </si>
  <si>
    <t xml:space="preserve">Sheet</t>
  </si>
  <si>
    <t xml:space="preserve">Contents</t>
  </si>
  <si>
    <t xml:space="preserve">Cover</t>
  </si>
  <si>
    <t xml:space="preserve">Case overview, key outputs, navigation</t>
  </si>
  <si>
    <t xml:space="preserve">Data_Assumptions</t>
  </si>
  <si>
    <t xml:space="preserve">HCP universe, system coverage, benchmark references</t>
  </si>
  <si>
    <t xml:space="preserve">Analysis_1_DataFlow</t>
  </si>
  <si>
    <t xml:space="preserve">Data quality gap matrix across 4 systems</t>
  </si>
  <si>
    <t xml:space="preserve">Analysis_2_Engagement</t>
  </si>
  <si>
    <t xml:space="preserve">Engagement allocation vs target; frequency distribution</t>
  </si>
  <si>
    <t xml:space="preserve">Dashboard</t>
  </si>
  <si>
    <t xml:space="preserve">KPI summary, gap findings, recommendations</t>
  </si>
  <si>
    <t xml:space="preserve">KEY OUTPUTS</t>
  </si>
  <si>
    <t xml:space="preserve">HCPs in scope</t>
  </si>
  <si>
    <t xml:space="preserve">4,200 active</t>
  </si>
  <si>
    <t xml:space="preserve">Engagement decline (3yr)</t>
  </si>
  <si>
    <t xml:space="preserve">–34%</t>
  </si>
  <si>
    <t xml:space="preserve">Conflicting records across systems</t>
  </si>
  <si>
    <t xml:space="preserve">1,140 HCPs</t>
  </si>
  <si>
    <t xml:space="preserve">Tier 1 HCPs with zero interactions (12m)</t>
  </si>
  <si>
    <t xml:space="preserve">287 (38%)</t>
  </si>
  <si>
    <t xml:space="preserve">Opt-out propagation gap — compliance risk</t>
  </si>
  <si>
    <t xml:space="preserve">312 HCPs</t>
  </si>
  <si>
    <t xml:space="preserve">Engagement vs target gap — Tier 1</t>
  </si>
  <si>
    <t xml:space="preserve">–23 pp below target</t>
  </si>
  <si>
    <t xml:space="preserve">Sources: IQVIA HCP Universe / OneKey; Veeva Pulse 2023; EFPIA Transparency Data 2022–23</t>
  </si>
  <si>
    <t xml:space="preserve">Data &amp; Assumptions</t>
  </si>
  <si>
    <t xml:space="preserve">HCP universe, system record counts, benchmark engagement rates</t>
  </si>
  <si>
    <t xml:space="preserve">Sector: Pharma &amp; Life Sciences   |   Case: Pharma Case 02 — Commercial Operations   |   Business Analyst Portfolio</t>
  </si>
  <si>
    <t xml:space="preserve">HCP SYSTEM COVERAGE — 4 SYSTEMS vs TOTAL UNIVERSE (4,200 HCPs)</t>
  </si>
  <si>
    <t xml:space="preserve">System</t>
  </si>
  <si>
    <t xml:space="preserve">Total Records</t>
  </si>
  <si>
    <t xml:space="preserve">Validated &amp; Synced</t>
  </si>
  <si>
    <t xml:space="preserve">Conflicting</t>
  </si>
  <si>
    <t xml:space="preserve">Stale / Not Updated</t>
  </si>
  <si>
    <t xml:space="preserve">Missing / Not Present</t>
  </si>
  <si>
    <t xml:space="preserve">Sales CRM (Veeva)</t>
  </si>
  <si>
    <t xml:space="preserve">MDM (Master Data)</t>
  </si>
  <si>
    <t xml:space="preserve">Med Affairs Platform</t>
  </si>
  <si>
    <t xml:space="preserve">Marketing Cloud</t>
  </si>
  <si>
    <t xml:space="preserve">BENCHMARK ENGAGEMENT RATES (Veeva Pulse 2023)</t>
  </si>
  <si>
    <t xml:space="preserve">HCP Tier</t>
  </si>
  <si>
    <t xml:space="preserve">Target Interactions/Year</t>
  </si>
  <si>
    <t xml:space="preserve">Actual (Company)</t>
  </si>
  <si>
    <t xml:space="preserve">Benchmark (Industry)</t>
  </si>
  <si>
    <t xml:space="preserve">Gap</t>
  </si>
  <si>
    <t xml:space="preserve">Tier 1 (High Value)</t>
  </si>
  <si>
    <t xml:space="preserve">Tier 2 (Regular)</t>
  </si>
  <si>
    <t xml:space="preserve">Tier 3 (Occasional)</t>
  </si>
  <si>
    <t xml:space="preserve">DATA QUALITY REQUIREMENTS — UNIFIED HCP MODEL</t>
  </si>
  <si>
    <t xml:space="preserve">Data Field</t>
  </si>
  <si>
    <t xml:space="preserve">Current Coverage</t>
  </si>
  <si>
    <t xml:space="preserve">Required Coverage</t>
  </si>
  <si>
    <t xml:space="preserve">Ownership (Proposed)</t>
  </si>
  <si>
    <t xml:space="preserve">Priority</t>
  </si>
  <si>
    <t xml:space="preserve">Verified HCP ID (OneKey)</t>
  </si>
  <si>
    <t xml:space="preserve">MDM / Data Governance</t>
  </si>
  <si>
    <t xml:space="preserve">Critical</t>
  </si>
  <si>
    <t xml:space="preserve">Primary Specialty (current)</t>
  </si>
  <si>
    <t xml:space="preserve">MDM, updated from CRM</t>
  </si>
  <si>
    <t xml:space="preserve">Prescribing Tier (validated)</t>
  </si>
  <si>
    <t xml:space="preserve">Commercial Analytics</t>
  </si>
  <si>
    <t xml:space="preserve">Institution / Affiliation</t>
  </si>
  <si>
    <t xml:space="preserve">MDM, field-updated by reps</t>
  </si>
  <si>
    <t xml:space="preserve">High</t>
  </si>
  <si>
    <t xml:space="preserve">Digital Opt-Out Status</t>
  </si>
  <si>
    <t xml:space="preserve">Marketing / Compliance</t>
  </si>
  <si>
    <t xml:space="preserve">Last Interaction Date</t>
  </si>
  <si>
    <t xml:space="preserve">Cross-system automated sync</t>
  </si>
  <si>
    <t xml:space="preserve">KOL / Influence Score</t>
  </si>
  <si>
    <t xml:space="preserve">Medical Affairs</t>
  </si>
  <si>
    <t xml:space="preserve">Channel Preference</t>
  </si>
  <si>
    <t xml:space="preserve">Digital Marketing</t>
  </si>
  <si>
    <t xml:space="preserve">Medium</t>
  </si>
  <si>
    <t xml:space="preserve">Analysis 1 — Data Flow Gap Analysis</t>
  </si>
  <si>
    <t xml:space="preserve">Four gaps in HCP record flow across Sales, Medical Affairs, and Marketing systems</t>
  </si>
  <si>
    <t xml:space="preserve">Sector: Pharma &amp; Life Sciences   |   Case: Pharma Case 02 — Step 1   |   Business Analyst Portfolio</t>
  </si>
  <si>
    <t xml:space="preserve">DATA FLOW GAP SUMMARY — 4 IDENTIFIED GAPS</t>
  </si>
  <si>
    <t xml:space="preserve">Gap ID</t>
  </si>
  <si>
    <t xml:space="preserve">From System</t>
  </si>
  <si>
    <t xml:space="preserve">To System</t>
  </si>
  <si>
    <t xml:space="preserve">Nature of Gap</t>
  </si>
  <si>
    <t xml:space="preserve">HCPs Affected</t>
  </si>
  <si>
    <t xml:space="preserve">Risk Level</t>
  </si>
  <si>
    <t xml:space="preserve">Gap 1</t>
  </si>
  <si>
    <t xml:space="preserve">MDM (Master)</t>
  </si>
  <si>
    <t xml:space="preserve">Quarterly sync lag — changes sit in MDM up to 90 days</t>
  </si>
  <si>
    <t xml:space="preserve">HIGH</t>
  </si>
  <si>
    <t xml:space="preserve">Gap 2</t>
  </si>
  <si>
    <t xml:space="preserve">23% of Med Affairs HCPs not in MDM — added directly to event platform</t>
  </si>
  <si>
    <t xml:space="preserve">Gap 3</t>
  </si>
  <si>
    <t xml:space="preserve">Opt-out state not propagating — GDPR compliance risk</t>
  </si>
  <si>
    <t xml:space="preserve">CRITICAL</t>
  </si>
  <si>
    <t xml:space="preserve">Gap 4</t>
  </si>
  <si>
    <t xml:space="preserve">All systems</t>
  </si>
  <si>
    <t xml:space="preserve">Any single view</t>
  </si>
  <si>
    <t xml:space="preserve">No cross-system total engagement view exists for any HCP</t>
  </si>
  <si>
    <t xml:space="preserve">Analysis 2 — HCP Engagement Analysis</t>
  </si>
  <si>
    <t xml:space="preserve">Tier allocation vs target; Tier 1 frequency distribution; unreached HCP count</t>
  </si>
  <si>
    <t xml:space="preserve">Sector: Pharma &amp; Life Sciences   |   Case: Pharma Case 02 — Steps 2 &amp; 3   |   Business Analyst Portfolio</t>
  </si>
  <si>
    <t xml:space="preserve">ENGAGEMENT ALLOCATION BY HCP TIER — ACTUAL VS TARGET (%)</t>
  </si>
  <si>
    <t xml:space="preserve">HCP Count</t>
  </si>
  <si>
    <t xml:space="preserve">Actual Engagement Share</t>
  </si>
  <si>
    <t xml:space="preserve">Target Engagement Share</t>
  </si>
  <si>
    <t xml:space="preserve">Gap (pp)</t>
  </si>
  <si>
    <t xml:space="preserve">TIER 1 HCP ENGAGEMENT FREQUENCY DISTRIBUTION</t>
  </si>
  <si>
    <t xml:space="preserve">Annual Interactions</t>
  </si>
  <si>
    <t xml:space="preserve">Tier 1 HCP Count</t>
  </si>
  <si>
    <t xml:space="preserve">% of Tier 1</t>
  </si>
  <si>
    <t xml:space="preserve">Status</t>
  </si>
  <si>
    <t xml:space="preserve">0 (Unreached)</t>
  </si>
  <si>
    <t xml:space="preserve">UNREACHED — priority gap</t>
  </si>
  <si>
    <t xml:space="preserve">1–2</t>
  </si>
  <si>
    <t xml:space="preserve">Severely under-engaged</t>
  </si>
  <si>
    <t xml:space="preserve">3–5</t>
  </si>
  <si>
    <t xml:space="preserve">Under-engaged</t>
  </si>
  <si>
    <t xml:space="preserve">6–8</t>
  </si>
  <si>
    <t xml:space="preserve">Approaching target</t>
  </si>
  <si>
    <t xml:space="preserve">9–12</t>
  </si>
  <si>
    <t xml:space="preserve">Within benchmark range</t>
  </si>
  <si>
    <t xml:space="preserve">&gt;12</t>
  </si>
  <si>
    <t xml:space="preserve">Over-engaged — review</t>
  </si>
  <si>
    <t xml:space="preserve">Total Tier 1</t>
  </si>
  <si>
    <t xml:space="preserve">Dashboard — HCP Engagement Gap Analysis</t>
  </si>
  <si>
    <t xml:space="preserve">Executive summary: data fragmentation, engagement misallocation, compliance gaps</t>
  </si>
  <si>
    <t xml:space="preserve">Sector: Commercial Operations   |   Case: Pharma Case 02 · Pharma &amp; Life Sciences   |   Business Analyst Portfolio</t>
  </si>
  <si>
    <t xml:space="preserve">KEY METRICS</t>
  </si>
  <si>
    <t xml:space="preserve">Total Active HCPs</t>
  </si>
  <si>
    <t xml:space="preserve">4,200</t>
  </si>
  <si>
    <t xml:space="preserve">Engagement Decline (3yr)</t>
  </si>
  <si>
    <t xml:space="preserve">Conflicting Records</t>
  </si>
  <si>
    <t xml:space="preserve">1,140</t>
  </si>
  <si>
    <t xml:space="preserve">Unreached Tier 1 HCPs</t>
  </si>
  <si>
    <t xml:space="preserve">Opt-Out Compliance Gap</t>
  </si>
  <si>
    <t xml:space="preserve">Systems Without Unified View</t>
  </si>
  <si>
    <t xml:space="preserve">4</t>
  </si>
  <si>
    <t xml:space="preserve">PRIORITY ACTIONS</t>
  </si>
  <si>
    <t xml:space="preserve">Action</t>
  </si>
  <si>
    <t xml:space="preserve">Timeline</t>
  </si>
  <si>
    <t xml:space="preserve">Close opt-out propagation gap (GDPR)</t>
  </si>
  <si>
    <t xml:space="preserve">Immediate</t>
  </si>
  <si>
    <t xml:space="preserve">Rebuild Tier 1 call lists from current prescribing tier data</t>
  </si>
  <si>
    <t xml:space="preserve">Establish MDM as single source of truth with update protocols</t>
  </si>
  <si>
    <t xml:space="preserve">Short Term</t>
  </si>
  <si>
    <t xml:space="preserve">Build cross-system engagement dashboard</t>
  </si>
  <si>
    <t xml:space="preserve">MEDIUM</t>
  </si>
  <si>
    <t xml:space="preserve">Medium Term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</si>
</sst>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General"/>
    <numFmt numFmtId="166" formatCode="0%"/>
    <numFmt numFmtId="167" formatCode="\+0%;\-0%;0%"/>
    <numFmt numFmtId="168" formatCode="\+0.0;\-0.0;0.0"/>
    <numFmt numFmtId="169" formatCode="0.0%"/>
  </numFmts>
  <fonts count="3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C3F6E"/>
      <name val="Arial"/>
      <family val="0"/>
      <charset val="1"/>
    </font>
    <font>
      <i val="true"/>
      <sz val="11"/>
      <color rgb="FF6B6860"/>
      <name val="Arial"/>
      <family val="0"/>
      <charset val="1"/>
    </font>
    <font>
      <sz val="9"/>
      <color rgb="FF6B686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1C3F6E"/>
      <name val="Arial"/>
      <family val="0"/>
      <charset val="1"/>
    </font>
    <font>
      <sz val="10"/>
      <color rgb="FF6B6860"/>
      <name val="Arial"/>
      <family val="0"/>
      <charset val="1"/>
    </font>
    <font>
      <b val="true"/>
      <sz val="9"/>
      <color rgb="FF1C3F6E"/>
      <name val="Arial"/>
      <family val="0"/>
      <charset val="1"/>
    </font>
    <font>
      <i val="true"/>
      <sz val="8"/>
      <color rgb="FF6B6860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0"/>
      <color rgb="FF181818"/>
      <name val="Arial"/>
      <family val="0"/>
      <charset val="1"/>
    </font>
    <font>
      <sz val="10"/>
      <color rgb="FF181818"/>
      <name val="Arial"/>
      <family val="0"/>
      <charset val="1"/>
    </font>
    <font>
      <b val="true"/>
      <sz val="10"/>
      <color rgb="FF2E7D55"/>
      <name val="Arial"/>
      <family val="0"/>
      <charset val="1"/>
    </font>
    <font>
      <sz val="10"/>
      <color rgb="FFC07A1A"/>
      <name val="Arial"/>
      <family val="0"/>
      <charset val="1"/>
    </font>
    <font>
      <sz val="10"/>
      <color rgb="FFC0392B"/>
      <name val="Arial"/>
      <family val="0"/>
      <charset val="1"/>
    </font>
    <font>
      <sz val="10"/>
      <color rgb="FF2E7D55"/>
      <name val="Arial"/>
      <family val="0"/>
      <charset val="1"/>
    </font>
    <font>
      <b val="true"/>
      <sz val="9"/>
      <color rgb="FFC0392B"/>
      <name val="Arial"/>
      <family val="0"/>
      <charset val="1"/>
    </font>
    <font>
      <b val="true"/>
      <sz val="9"/>
      <color rgb="FFC07A1A"/>
      <name val="Arial"/>
      <family val="0"/>
      <charset val="1"/>
    </font>
    <font>
      <b val="true"/>
      <sz val="10"/>
      <color rgb="FFC07A1A"/>
      <name val="Arial"/>
      <family val="0"/>
      <charset val="1"/>
    </font>
    <font>
      <sz val="9"/>
      <color rgb="FF181818"/>
      <name val="Arial"/>
      <family val="0"/>
      <charset val="1"/>
    </font>
    <font>
      <b val="true"/>
      <sz val="10"/>
      <color rgb="FFC0392B"/>
      <name val="Arial"/>
      <family val="0"/>
      <charset val="1"/>
    </font>
    <font>
      <i val="true"/>
      <sz val="9"/>
      <color rgb="FFC0392B"/>
      <name val="Arial"/>
      <family val="0"/>
      <charset val="1"/>
    </font>
    <font>
      <sz val="9"/>
      <color rgb="FFC07A1A"/>
      <name val="Arial"/>
      <family val="0"/>
      <charset val="1"/>
    </font>
    <font>
      <sz val="9"/>
      <color rgb="FF2E7D55"/>
      <name val="Arial"/>
      <family val="0"/>
      <charset val="1"/>
    </font>
    <font>
      <b val="true"/>
      <sz val="9"/>
      <color rgb="FF181818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color rgb="FF1C3F6E"/>
      <name val="Arial"/>
      <family val="0"/>
      <charset val="1"/>
    </font>
    <font>
      <b val="true"/>
      <sz val="11"/>
      <color rgb="FFC0392B"/>
      <name val="Arial"/>
      <family val="0"/>
      <charset val="1"/>
    </font>
    <font>
      <b val="true"/>
      <sz val="11"/>
      <color rgb="FFC07A1A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C3F6E"/>
        <bgColor rgb="FF333399"/>
      </patternFill>
    </fill>
    <fill>
      <patternFill patternType="solid">
        <fgColor rgb="FFEBF0F8"/>
        <bgColor rgb="FFF5F4F0"/>
      </patternFill>
    </fill>
    <fill>
      <patternFill patternType="solid">
        <fgColor rgb="FFF5F4F0"/>
        <bgColor rgb="FFEBF0F8"/>
      </patternFill>
    </fill>
    <fill>
      <patternFill patternType="solid">
        <fgColor rgb="FFFFFFFF"/>
        <bgColor rgb="FFF5F4F0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D0CEC6"/>
      </left>
      <right style="thin">
        <color rgb="FFD0CEC6"/>
      </right>
      <top style="thin">
        <color rgb="FFD0CEC6"/>
      </top>
      <bottom style="thin">
        <color rgb="FFD0CEC6"/>
      </bottom>
      <diagonal/>
    </border>
    <border diagonalUp="false" diagonalDown="false">
      <left/>
      <right/>
      <top/>
      <bottom style="thin">
        <color rgb="FFD0CEC6"/>
      </bottom>
      <diagonal/>
    </border>
    <border diagonalUp="false" diagonalDown="false">
      <left/>
      <right/>
      <top style="thin">
        <color rgb="FFD0CEC6"/>
      </top>
      <bottom style="thin">
        <color rgb="FFD0CEC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3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5" fillId="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6" fillId="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7" fillId="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3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5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6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7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4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7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4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7" fillId="5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8" fillId="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8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16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9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17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6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9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8" fillId="5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9" fillId="5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17" fillId="5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6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9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0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7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17" fillId="5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20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1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2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2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1" fillId="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1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2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2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1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3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3" fillId="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3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3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23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17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15" fillId="5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18" fillId="5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15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18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9" fontId="17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24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9" fillId="5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25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9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25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6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7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28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29" fillId="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30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31" fillId="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30" fillId="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31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C07A1A"/>
      <rgbColor rgb="FF800080"/>
      <rgbColor rgb="FF008080"/>
      <rgbColor rgb="FFD0CEC6"/>
      <rgbColor rgb="FF808080"/>
      <rgbColor rgb="FF9999FF"/>
      <rgbColor rgb="FF993366"/>
      <rgbColor rgb="FFF5F4F0"/>
      <rgbColor rgb="FFEBF0F8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6860"/>
      <rgbColor rgb="FF969696"/>
      <rgbColor rgb="FF1C3F6E"/>
      <rgbColor rgb="FF2E7D55"/>
      <rgbColor rgb="FF181818"/>
      <rgbColor rgb="FF333300"/>
      <rgbColor rgb="FFC0392B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3" min="2" style="0" width="22"/>
    <col collapsed="false" customWidth="true" hidden="false" outlineLevel="0" max="4" min="4" style="0" width="20"/>
  </cols>
  <sheetData>
    <row r="1" customFormat="false" ht="36" hidden="false" customHeight="true" outlineLevel="0" collapsed="false">
      <c r="A1" s="1" t="s">
        <v>0</v>
      </c>
    </row>
    <row r="2" customFormat="false" ht="19.5" hidden="false" customHeight="true" outlineLevel="0" collapsed="false">
      <c r="A2" s="2" t="s">
        <v>1</v>
      </c>
    </row>
    <row r="3" customFormat="false" ht="15.75" hidden="false" customHeight="true" outlineLevel="0" collapsed="false">
      <c r="A3" s="3" t="s">
        <v>2</v>
      </c>
    </row>
    <row r="4" customFormat="false" ht="15.75" hidden="false" customHeight="true" outlineLevel="0" collapsed="false"/>
    <row r="6" customFormat="false" ht="15" hidden="false" customHeight="false" outlineLevel="0" collapsed="false">
      <c r="A6" s="4" t="s">
        <v>3</v>
      </c>
      <c r="B6" s="4" t="s">
        <v>4</v>
      </c>
    </row>
    <row r="7" customFormat="false" ht="15" hidden="false" customHeight="false" outlineLevel="0" collapsed="false">
      <c r="A7" s="5" t="s">
        <v>5</v>
      </c>
      <c r="B7" s="6" t="s">
        <v>6</v>
      </c>
    </row>
    <row r="8" customFormat="false" ht="15" hidden="false" customHeight="false" outlineLevel="0" collapsed="false">
      <c r="A8" s="5" t="s">
        <v>7</v>
      </c>
      <c r="B8" s="6" t="s">
        <v>8</v>
      </c>
    </row>
    <row r="9" customFormat="false" ht="15" hidden="false" customHeight="false" outlineLevel="0" collapsed="false">
      <c r="A9" s="5" t="s">
        <v>9</v>
      </c>
      <c r="B9" s="6" t="s">
        <v>10</v>
      </c>
    </row>
    <row r="10" customFormat="false" ht="15" hidden="false" customHeight="false" outlineLevel="0" collapsed="false">
      <c r="A10" s="5" t="s">
        <v>11</v>
      </c>
      <c r="B10" s="6" t="s">
        <v>12</v>
      </c>
    </row>
    <row r="11" customFormat="false" ht="15" hidden="false" customHeight="false" outlineLevel="0" collapsed="false">
      <c r="A11" s="5" t="s">
        <v>13</v>
      </c>
      <c r="B11" s="6" t="s">
        <v>14</v>
      </c>
    </row>
    <row r="13" customFormat="false" ht="15" hidden="false" customHeight="false" outlineLevel="0" collapsed="false">
      <c r="A13" s="7" t="s">
        <v>15</v>
      </c>
    </row>
    <row r="14" customFormat="false" ht="15" hidden="false" customHeight="false" outlineLevel="0" collapsed="false">
      <c r="A14" s="8" t="s">
        <v>16</v>
      </c>
      <c r="B14" s="9" t="s">
        <v>17</v>
      </c>
    </row>
    <row r="15" customFormat="false" ht="15" hidden="false" customHeight="false" outlineLevel="0" collapsed="false">
      <c r="A15" s="8" t="s">
        <v>18</v>
      </c>
      <c r="B15" s="9" t="s">
        <v>19</v>
      </c>
    </row>
    <row r="16" customFormat="false" ht="15" hidden="false" customHeight="false" outlineLevel="0" collapsed="false">
      <c r="A16" s="8" t="s">
        <v>20</v>
      </c>
      <c r="B16" s="9" t="s">
        <v>21</v>
      </c>
    </row>
    <row r="17" customFormat="false" ht="15" hidden="false" customHeight="false" outlineLevel="0" collapsed="false">
      <c r="A17" s="8" t="s">
        <v>22</v>
      </c>
      <c r="B17" s="9" t="s">
        <v>23</v>
      </c>
    </row>
    <row r="18" customFormat="false" ht="15" hidden="false" customHeight="false" outlineLevel="0" collapsed="false">
      <c r="A18" s="8" t="s">
        <v>24</v>
      </c>
      <c r="B18" s="9" t="s">
        <v>25</v>
      </c>
    </row>
    <row r="19" customFormat="false" ht="15" hidden="false" customHeight="false" outlineLevel="0" collapsed="false">
      <c r="A19" s="8" t="s">
        <v>26</v>
      </c>
      <c r="B19" s="9" t="s">
        <v>27</v>
      </c>
    </row>
    <row r="21" customFormat="false" ht="15" hidden="false" customHeight="false" outlineLevel="0" collapsed="false">
      <c r="A21" s="10" t="s">
        <v>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5" min="2" style="0" width="16"/>
    <col collapsed="false" customWidth="true" hidden="false" outlineLevel="0" max="6" min="6" style="0" width="24"/>
  </cols>
  <sheetData>
    <row r="1" customFormat="false" ht="36" hidden="false" customHeight="true" outlineLevel="0" collapsed="false">
      <c r="A1" s="1" t="s">
        <v>29</v>
      </c>
    </row>
    <row r="2" customFormat="false" ht="19.5" hidden="false" customHeight="true" outlineLevel="0" collapsed="false">
      <c r="A2" s="2" t="s">
        <v>30</v>
      </c>
    </row>
    <row r="3" customFormat="false" ht="15.75" hidden="false" customHeight="true" outlineLevel="0" collapsed="false">
      <c r="A3" s="3" t="s">
        <v>31</v>
      </c>
    </row>
    <row r="4" customFormat="false" ht="15.75" hidden="false" customHeight="true" outlineLevel="0" collapsed="false"/>
    <row r="6" customFormat="false" ht="15" hidden="false" customHeight="false" outlineLevel="0" collapsed="false">
      <c r="A6" s="7" t="s">
        <v>32</v>
      </c>
    </row>
    <row r="7" customFormat="false" ht="15" hidden="false" customHeight="false" outlineLevel="0" collapsed="false">
      <c r="A7" s="11" t="s">
        <v>33</v>
      </c>
      <c r="B7" s="11" t="s">
        <v>34</v>
      </c>
      <c r="C7" s="11" t="s">
        <v>35</v>
      </c>
      <c r="D7" s="11" t="s">
        <v>36</v>
      </c>
      <c r="E7" s="11" t="s">
        <v>37</v>
      </c>
      <c r="F7" s="11" t="s">
        <v>38</v>
      </c>
    </row>
    <row r="8" customFormat="false" ht="15" hidden="false" customHeight="false" outlineLevel="0" collapsed="false">
      <c r="A8" s="12" t="s">
        <v>39</v>
      </c>
      <c r="B8" s="13" t="n">
        <v>4200</v>
      </c>
      <c r="C8" s="14" t="n">
        <v>2480</v>
      </c>
      <c r="D8" s="15" t="n">
        <v>820</v>
      </c>
      <c r="E8" s="16" t="n">
        <v>680</v>
      </c>
      <c r="F8" s="16" t="n">
        <v>220</v>
      </c>
    </row>
    <row r="9" customFormat="false" ht="15" hidden="false" customHeight="false" outlineLevel="0" collapsed="false">
      <c r="A9" s="17" t="s">
        <v>40</v>
      </c>
      <c r="B9" s="18" t="n">
        <v>4200</v>
      </c>
      <c r="C9" s="19" t="n">
        <v>3900</v>
      </c>
      <c r="D9" s="20" t="n">
        <v>200</v>
      </c>
      <c r="E9" s="21" t="n">
        <v>100</v>
      </c>
      <c r="F9" s="21" t="n">
        <v>0</v>
      </c>
    </row>
    <row r="10" customFormat="false" ht="15" hidden="false" customHeight="false" outlineLevel="0" collapsed="false">
      <c r="A10" s="12" t="s">
        <v>41</v>
      </c>
      <c r="B10" s="13" t="n">
        <v>2440</v>
      </c>
      <c r="C10" s="14" t="n">
        <v>1820</v>
      </c>
      <c r="D10" s="15" t="n">
        <v>340</v>
      </c>
      <c r="E10" s="16" t="n">
        <v>280</v>
      </c>
      <c r="F10" s="16" t="n">
        <v>1760</v>
      </c>
    </row>
    <row r="11" customFormat="false" ht="15" hidden="false" customHeight="false" outlineLevel="0" collapsed="false">
      <c r="A11" s="17" t="s">
        <v>42</v>
      </c>
      <c r="B11" s="18" t="n">
        <v>3800</v>
      </c>
      <c r="C11" s="19" t="n">
        <v>2100</v>
      </c>
      <c r="D11" s="20" t="n">
        <v>290</v>
      </c>
      <c r="E11" s="21" t="n">
        <v>410</v>
      </c>
      <c r="F11" s="21" t="n">
        <v>1400</v>
      </c>
    </row>
    <row r="13" customFormat="false" ht="15" hidden="false" customHeight="false" outlineLevel="0" collapsed="false">
      <c r="A13" s="7" t="s">
        <v>43</v>
      </c>
    </row>
    <row r="14" customFormat="false" ht="15" hidden="false" customHeight="false" outlineLevel="0" collapsed="false">
      <c r="A14" s="11" t="s">
        <v>44</v>
      </c>
      <c r="B14" s="11" t="s">
        <v>45</v>
      </c>
      <c r="C14" s="11" t="s">
        <v>46</v>
      </c>
      <c r="D14" s="11" t="s">
        <v>47</v>
      </c>
      <c r="E14" s="11" t="s">
        <v>48</v>
      </c>
    </row>
    <row r="15" customFormat="false" ht="15" hidden="false" customHeight="false" outlineLevel="0" collapsed="false">
      <c r="A15" s="22" t="s">
        <v>49</v>
      </c>
      <c r="B15" s="13" t="n">
        <v>8</v>
      </c>
      <c r="C15" s="16" t="n">
        <v>5.2</v>
      </c>
      <c r="D15" s="23" t="n">
        <v>10</v>
      </c>
      <c r="E15" s="24" t="n">
        <f aca="false">C15-B15</f>
        <v>-2.8</v>
      </c>
    </row>
    <row r="16" customFormat="false" ht="15" hidden="false" customHeight="false" outlineLevel="0" collapsed="false">
      <c r="A16" s="25" t="s">
        <v>50</v>
      </c>
      <c r="B16" s="18" t="n">
        <v>5</v>
      </c>
      <c r="C16" s="21" t="n">
        <v>4.8</v>
      </c>
      <c r="D16" s="26" t="n">
        <v>6</v>
      </c>
      <c r="E16" s="27" t="n">
        <f aca="false">C16-B16</f>
        <v>-0.2</v>
      </c>
    </row>
    <row r="17" customFormat="false" ht="15" hidden="false" customHeight="false" outlineLevel="0" collapsed="false">
      <c r="A17" s="22" t="s">
        <v>51</v>
      </c>
      <c r="B17" s="13" t="n">
        <v>2</v>
      </c>
      <c r="C17" s="28" t="n">
        <v>3.9</v>
      </c>
      <c r="D17" s="23" t="n">
        <v>3</v>
      </c>
      <c r="E17" s="29" t="n">
        <f aca="false">C17-B17</f>
        <v>1.9</v>
      </c>
    </row>
    <row r="19" customFormat="false" ht="15" hidden="false" customHeight="false" outlineLevel="0" collapsed="false">
      <c r="A19" s="7" t="s">
        <v>52</v>
      </c>
    </row>
    <row r="20" customFormat="false" ht="15" hidden="false" customHeight="false" outlineLevel="0" collapsed="false">
      <c r="A20" s="11" t="s">
        <v>53</v>
      </c>
      <c r="B20" s="11" t="s">
        <v>54</v>
      </c>
      <c r="C20" s="11" t="s">
        <v>55</v>
      </c>
      <c r="D20" s="11" t="s">
        <v>48</v>
      </c>
      <c r="E20" s="11" t="s">
        <v>56</v>
      </c>
      <c r="F20" s="11" t="s">
        <v>57</v>
      </c>
    </row>
    <row r="21" customFormat="false" ht="15" hidden="false" customHeight="false" outlineLevel="0" collapsed="false">
      <c r="A21" s="22" t="s">
        <v>58</v>
      </c>
      <c r="B21" s="30" t="n">
        <v>0.61</v>
      </c>
      <c r="C21" s="31" t="n">
        <v>1</v>
      </c>
      <c r="D21" s="32" t="n">
        <f aca="false">C21-B21</f>
        <v>0.39</v>
      </c>
      <c r="E21" s="33" t="s">
        <v>59</v>
      </c>
      <c r="F21" s="34" t="s">
        <v>60</v>
      </c>
    </row>
    <row r="22" customFormat="false" ht="15" hidden="false" customHeight="false" outlineLevel="0" collapsed="false">
      <c r="A22" s="25" t="s">
        <v>61</v>
      </c>
      <c r="B22" s="35" t="n">
        <v>0.78</v>
      </c>
      <c r="C22" s="36" t="n">
        <v>1</v>
      </c>
      <c r="D22" s="37" t="n">
        <f aca="false">C22-B22</f>
        <v>0.22</v>
      </c>
      <c r="E22" s="38" t="s">
        <v>62</v>
      </c>
      <c r="F22" s="39" t="s">
        <v>60</v>
      </c>
    </row>
    <row r="23" customFormat="false" ht="15" hidden="false" customHeight="false" outlineLevel="0" collapsed="false">
      <c r="A23" s="22" t="s">
        <v>63</v>
      </c>
      <c r="B23" s="30" t="n">
        <v>0.52</v>
      </c>
      <c r="C23" s="31" t="n">
        <v>0.95</v>
      </c>
      <c r="D23" s="32" t="n">
        <f aca="false">C23-B23</f>
        <v>0.43</v>
      </c>
      <c r="E23" s="33" t="s">
        <v>64</v>
      </c>
      <c r="F23" s="34" t="s">
        <v>60</v>
      </c>
    </row>
    <row r="24" customFormat="false" ht="15" hidden="false" customHeight="false" outlineLevel="0" collapsed="false">
      <c r="A24" s="25" t="s">
        <v>65</v>
      </c>
      <c r="B24" s="35" t="n">
        <v>0.84</v>
      </c>
      <c r="C24" s="36" t="n">
        <v>1</v>
      </c>
      <c r="D24" s="37" t="n">
        <f aca="false">C24-B24</f>
        <v>0.16</v>
      </c>
      <c r="E24" s="38" t="s">
        <v>66</v>
      </c>
      <c r="F24" s="40" t="s">
        <v>67</v>
      </c>
    </row>
    <row r="25" customFormat="false" ht="15" hidden="false" customHeight="false" outlineLevel="0" collapsed="false">
      <c r="A25" s="22" t="s">
        <v>68</v>
      </c>
      <c r="B25" s="41" t="n">
        <v>0.46</v>
      </c>
      <c r="C25" s="31" t="n">
        <v>1</v>
      </c>
      <c r="D25" s="32" t="n">
        <f aca="false">C25-B25</f>
        <v>0.54</v>
      </c>
      <c r="E25" s="33" t="s">
        <v>69</v>
      </c>
      <c r="F25" s="34" t="s">
        <v>60</v>
      </c>
    </row>
    <row r="26" customFormat="false" ht="15" hidden="false" customHeight="false" outlineLevel="0" collapsed="false">
      <c r="A26" s="25" t="s">
        <v>70</v>
      </c>
      <c r="B26" s="42" t="n">
        <v>0.39</v>
      </c>
      <c r="C26" s="36" t="n">
        <v>1</v>
      </c>
      <c r="D26" s="37" t="n">
        <f aca="false">C26-B26</f>
        <v>0.61</v>
      </c>
      <c r="E26" s="38" t="s">
        <v>71</v>
      </c>
      <c r="F26" s="39" t="s">
        <v>60</v>
      </c>
    </row>
    <row r="27" customFormat="false" ht="15" hidden="false" customHeight="false" outlineLevel="0" collapsed="false">
      <c r="A27" s="22" t="s">
        <v>72</v>
      </c>
      <c r="B27" s="41" t="n">
        <v>0.29</v>
      </c>
      <c r="C27" s="31" t="n">
        <v>0.8</v>
      </c>
      <c r="D27" s="32" t="n">
        <f aca="false">C27-B27</f>
        <v>0.51</v>
      </c>
      <c r="E27" s="33" t="s">
        <v>73</v>
      </c>
      <c r="F27" s="43" t="s">
        <v>67</v>
      </c>
    </row>
    <row r="28" customFormat="false" ht="15" hidden="false" customHeight="false" outlineLevel="0" collapsed="false">
      <c r="A28" s="25" t="s">
        <v>74</v>
      </c>
      <c r="B28" s="42" t="n">
        <v>0.18</v>
      </c>
      <c r="C28" s="36" t="n">
        <v>0.75</v>
      </c>
      <c r="D28" s="37" t="n">
        <f aca="false">C28-B28</f>
        <v>0.57</v>
      </c>
      <c r="E28" s="38" t="s">
        <v>75</v>
      </c>
      <c r="F28" s="44" t="s">
        <v>76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5" min="2" style="0" width="16"/>
    <col collapsed="false" customWidth="true" hidden="false" outlineLevel="0" max="6" min="6" style="0" width="24"/>
  </cols>
  <sheetData>
    <row r="1" customFormat="false" ht="36" hidden="false" customHeight="true" outlineLevel="0" collapsed="false">
      <c r="A1" s="1" t="s">
        <v>77</v>
      </c>
    </row>
    <row r="2" customFormat="false" ht="19.5" hidden="false" customHeight="true" outlineLevel="0" collapsed="false">
      <c r="A2" s="2" t="s">
        <v>78</v>
      </c>
    </row>
    <row r="3" customFormat="false" ht="15.75" hidden="false" customHeight="true" outlineLevel="0" collapsed="false">
      <c r="A3" s="3" t="s">
        <v>79</v>
      </c>
    </row>
    <row r="4" customFormat="false" ht="15.75" hidden="false" customHeight="true" outlineLevel="0" collapsed="false"/>
    <row r="6" customFormat="false" ht="15" hidden="false" customHeight="false" outlineLevel="0" collapsed="false">
      <c r="A6" s="7" t="s">
        <v>80</v>
      </c>
    </row>
    <row r="7" customFormat="false" ht="15" hidden="false" customHeight="false" outlineLevel="0" collapsed="false">
      <c r="A7" s="11" t="s">
        <v>81</v>
      </c>
      <c r="B7" s="11" t="s">
        <v>82</v>
      </c>
      <c r="C7" s="11" t="s">
        <v>83</v>
      </c>
      <c r="D7" s="11" t="s">
        <v>84</v>
      </c>
      <c r="E7" s="11" t="s">
        <v>85</v>
      </c>
      <c r="F7" s="11" t="s">
        <v>86</v>
      </c>
    </row>
    <row r="8" customFormat="false" ht="30" hidden="false" customHeight="true" outlineLevel="0" collapsed="false">
      <c r="A8" s="45" t="s">
        <v>87</v>
      </c>
      <c r="B8" s="46" t="s">
        <v>88</v>
      </c>
      <c r="C8" s="46" t="s">
        <v>39</v>
      </c>
      <c r="D8" s="47" t="s">
        <v>89</v>
      </c>
      <c r="E8" s="48" t="n">
        <v>680</v>
      </c>
      <c r="F8" s="45" t="s">
        <v>90</v>
      </c>
    </row>
    <row r="9" customFormat="false" ht="30" hidden="false" customHeight="true" outlineLevel="0" collapsed="false">
      <c r="A9" s="49" t="s">
        <v>91</v>
      </c>
      <c r="B9" s="50" t="s">
        <v>41</v>
      </c>
      <c r="C9" s="50" t="s">
        <v>88</v>
      </c>
      <c r="D9" s="51" t="s">
        <v>92</v>
      </c>
      <c r="E9" s="52" t="n">
        <v>560</v>
      </c>
      <c r="F9" s="49" t="s">
        <v>90</v>
      </c>
    </row>
    <row r="10" customFormat="false" ht="30" hidden="false" customHeight="true" outlineLevel="0" collapsed="false">
      <c r="A10" s="53" t="s">
        <v>93</v>
      </c>
      <c r="B10" s="46" t="s">
        <v>42</v>
      </c>
      <c r="C10" s="46" t="s">
        <v>39</v>
      </c>
      <c r="D10" s="47" t="s">
        <v>94</v>
      </c>
      <c r="E10" s="54" t="n">
        <v>312</v>
      </c>
      <c r="F10" s="53" t="s">
        <v>95</v>
      </c>
    </row>
    <row r="11" customFormat="false" ht="30" hidden="false" customHeight="true" outlineLevel="0" collapsed="false">
      <c r="A11" s="55" t="s">
        <v>96</v>
      </c>
      <c r="B11" s="50" t="s">
        <v>97</v>
      </c>
      <c r="C11" s="50" t="s">
        <v>98</v>
      </c>
      <c r="D11" s="51" t="s">
        <v>99</v>
      </c>
      <c r="E11" s="56" t="n">
        <v>4200</v>
      </c>
      <c r="F11" s="55" t="s">
        <v>95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5" min="2" style="0" width="18"/>
  </cols>
  <sheetData>
    <row r="1" customFormat="false" ht="36" hidden="false" customHeight="true" outlineLevel="0" collapsed="false">
      <c r="A1" s="1" t="s">
        <v>100</v>
      </c>
    </row>
    <row r="2" customFormat="false" ht="19.5" hidden="false" customHeight="true" outlineLevel="0" collapsed="false">
      <c r="A2" s="2" t="s">
        <v>101</v>
      </c>
    </row>
    <row r="3" customFormat="false" ht="15.75" hidden="false" customHeight="true" outlineLevel="0" collapsed="false">
      <c r="A3" s="3" t="s">
        <v>102</v>
      </c>
    </row>
    <row r="4" customFormat="false" ht="15.75" hidden="false" customHeight="true" outlineLevel="0" collapsed="false"/>
    <row r="6" customFormat="false" ht="15" hidden="false" customHeight="false" outlineLevel="0" collapsed="false">
      <c r="A6" s="7" t="s">
        <v>103</v>
      </c>
    </row>
    <row r="7" customFormat="false" ht="15" hidden="false" customHeight="false" outlineLevel="0" collapsed="false">
      <c r="A7" s="11" t="s">
        <v>44</v>
      </c>
      <c r="B7" s="11" t="s">
        <v>104</v>
      </c>
      <c r="C7" s="11" t="s">
        <v>105</v>
      </c>
      <c r="D7" s="11" t="s">
        <v>106</v>
      </c>
      <c r="E7" s="11" t="s">
        <v>107</v>
      </c>
    </row>
    <row r="8" customFormat="false" ht="15" hidden="false" customHeight="false" outlineLevel="0" collapsed="false">
      <c r="A8" s="12" t="s">
        <v>49</v>
      </c>
      <c r="B8" s="13" t="n">
        <v>756</v>
      </c>
      <c r="C8" s="57" t="n">
        <v>0.22</v>
      </c>
      <c r="D8" s="31" t="n">
        <v>0.45</v>
      </c>
      <c r="E8" s="58" t="n">
        <f aca="false">(C8-D8)*100</f>
        <v>-23</v>
      </c>
    </row>
    <row r="9" customFormat="false" ht="15" hidden="false" customHeight="false" outlineLevel="0" collapsed="false">
      <c r="A9" s="25" t="s">
        <v>50</v>
      </c>
      <c r="B9" s="18" t="n">
        <v>1680</v>
      </c>
      <c r="C9" s="59" t="n">
        <v>0.37</v>
      </c>
      <c r="D9" s="36" t="n">
        <v>0.35</v>
      </c>
      <c r="E9" s="60" t="n">
        <f aca="false">(C9-D9)*100</f>
        <v>2</v>
      </c>
    </row>
    <row r="10" customFormat="false" ht="15" hidden="false" customHeight="false" outlineLevel="0" collapsed="false">
      <c r="A10" s="22" t="s">
        <v>51</v>
      </c>
      <c r="B10" s="13" t="n">
        <v>1764</v>
      </c>
      <c r="C10" s="61" t="n">
        <v>0.41</v>
      </c>
      <c r="D10" s="31" t="n">
        <v>0.2</v>
      </c>
      <c r="E10" s="62" t="n">
        <f aca="false">(C10-D10)*100</f>
        <v>21</v>
      </c>
    </row>
    <row r="12" customFormat="false" ht="15" hidden="false" customHeight="false" outlineLevel="0" collapsed="false">
      <c r="A12" s="7" t="s">
        <v>108</v>
      </c>
    </row>
    <row r="13" customFormat="false" ht="15" hidden="false" customHeight="false" outlineLevel="0" collapsed="false">
      <c r="A13" s="11" t="s">
        <v>109</v>
      </c>
      <c r="B13" s="11" t="s">
        <v>110</v>
      </c>
      <c r="C13" s="11" t="s">
        <v>111</v>
      </c>
      <c r="D13" s="11" t="s">
        <v>112</v>
      </c>
    </row>
    <row r="14" customFormat="false" ht="15" hidden="false" customHeight="false" outlineLevel="0" collapsed="false">
      <c r="A14" s="53" t="s">
        <v>113</v>
      </c>
      <c r="B14" s="54" t="n">
        <v>287</v>
      </c>
      <c r="C14" s="63" t="n">
        <f aca="false">B14/756</f>
        <v>0.37962962962963</v>
      </c>
      <c r="D14" s="64" t="s">
        <v>114</v>
      </c>
    </row>
    <row r="15" customFormat="false" ht="15" hidden="false" customHeight="false" outlineLevel="0" collapsed="false">
      <c r="A15" s="25" t="s">
        <v>115</v>
      </c>
      <c r="B15" s="65" t="n">
        <v>143</v>
      </c>
      <c r="C15" s="66" t="n">
        <f aca="false">B15/756</f>
        <v>0.189153439153439</v>
      </c>
      <c r="D15" s="67" t="s">
        <v>116</v>
      </c>
    </row>
    <row r="16" customFormat="false" ht="15" hidden="false" customHeight="false" outlineLevel="0" collapsed="false">
      <c r="A16" s="22" t="s">
        <v>117</v>
      </c>
      <c r="B16" s="68" t="n">
        <v>98</v>
      </c>
      <c r="C16" s="69" t="n">
        <f aca="false">B16/756</f>
        <v>0.12962962962963</v>
      </c>
      <c r="D16" s="70" t="s">
        <v>118</v>
      </c>
    </row>
    <row r="17" customFormat="false" ht="15" hidden="false" customHeight="false" outlineLevel="0" collapsed="false">
      <c r="A17" s="25" t="s">
        <v>119</v>
      </c>
      <c r="B17" s="65" t="n">
        <v>112</v>
      </c>
      <c r="C17" s="66" t="n">
        <f aca="false">B17/756</f>
        <v>0.148148148148148</v>
      </c>
      <c r="D17" s="38" t="s">
        <v>120</v>
      </c>
    </row>
    <row r="18" customFormat="false" ht="15" hidden="false" customHeight="false" outlineLevel="0" collapsed="false">
      <c r="A18" s="22" t="s">
        <v>121</v>
      </c>
      <c r="B18" s="68" t="n">
        <v>82</v>
      </c>
      <c r="C18" s="69" t="n">
        <f aca="false">B18/756</f>
        <v>0.108465608465608</v>
      </c>
      <c r="D18" s="71" t="s">
        <v>122</v>
      </c>
    </row>
    <row r="19" customFormat="false" ht="15" hidden="false" customHeight="false" outlineLevel="0" collapsed="false">
      <c r="A19" s="25" t="s">
        <v>123</v>
      </c>
      <c r="B19" s="65" t="n">
        <v>34</v>
      </c>
      <c r="C19" s="66" t="n">
        <f aca="false">B19/756</f>
        <v>0.044973544973545</v>
      </c>
      <c r="D19" s="38" t="s">
        <v>124</v>
      </c>
    </row>
    <row r="20" customFormat="false" ht="15" hidden="false" customHeight="false" outlineLevel="0" collapsed="false">
      <c r="A20" s="72" t="s">
        <v>125</v>
      </c>
      <c r="B20" s="73" t="n">
        <f aca="false">SUM(B14:B19)</f>
        <v>756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4" min="2" style="0" width="20"/>
  </cols>
  <sheetData>
    <row r="1" customFormat="false" ht="36" hidden="false" customHeight="true" outlineLevel="0" collapsed="false">
      <c r="A1" s="1" t="s">
        <v>126</v>
      </c>
    </row>
    <row r="2" customFormat="false" ht="19.5" hidden="false" customHeight="true" outlineLevel="0" collapsed="false">
      <c r="A2" s="2" t="s">
        <v>127</v>
      </c>
    </row>
    <row r="3" customFormat="false" ht="15.75" hidden="false" customHeight="true" outlineLevel="0" collapsed="false">
      <c r="A3" s="3" t="s">
        <v>128</v>
      </c>
    </row>
    <row r="4" customFormat="false" ht="15.75" hidden="false" customHeight="true" outlineLevel="0" collapsed="false"/>
    <row r="6" customFormat="false" ht="15" hidden="false" customHeight="false" outlineLevel="0" collapsed="false">
      <c r="A6" s="7" t="s">
        <v>129</v>
      </c>
    </row>
    <row r="7" customFormat="false" ht="15" hidden="false" customHeight="false" outlineLevel="0" collapsed="false">
      <c r="A7" s="33" t="s">
        <v>130</v>
      </c>
      <c r="B7" s="74" t="s">
        <v>131</v>
      </c>
    </row>
    <row r="8" customFormat="false" ht="15" hidden="false" customHeight="false" outlineLevel="0" collapsed="false">
      <c r="A8" s="38" t="s">
        <v>132</v>
      </c>
      <c r="B8" s="75" t="s">
        <v>19</v>
      </c>
    </row>
    <row r="9" customFormat="false" ht="15" hidden="false" customHeight="false" outlineLevel="0" collapsed="false">
      <c r="A9" s="33" t="s">
        <v>133</v>
      </c>
      <c r="B9" s="76" t="s">
        <v>134</v>
      </c>
    </row>
    <row r="10" customFormat="false" ht="15" hidden="false" customHeight="false" outlineLevel="0" collapsed="false">
      <c r="A10" s="38" t="s">
        <v>135</v>
      </c>
      <c r="B10" s="75" t="s">
        <v>23</v>
      </c>
    </row>
    <row r="11" customFormat="false" ht="15" hidden="false" customHeight="false" outlineLevel="0" collapsed="false">
      <c r="A11" s="33" t="s">
        <v>136</v>
      </c>
      <c r="B11" s="77" t="s">
        <v>25</v>
      </c>
    </row>
    <row r="12" customFormat="false" ht="15" hidden="false" customHeight="false" outlineLevel="0" collapsed="false">
      <c r="A12" s="38" t="s">
        <v>137</v>
      </c>
      <c r="B12" s="78" t="s">
        <v>138</v>
      </c>
    </row>
    <row r="14" customFormat="false" ht="15" hidden="false" customHeight="false" outlineLevel="0" collapsed="false">
      <c r="A14" s="7" t="s">
        <v>139</v>
      </c>
    </row>
    <row r="15" customFormat="false" ht="15" hidden="false" customHeight="false" outlineLevel="0" collapsed="false">
      <c r="A15" s="11" t="s">
        <v>140</v>
      </c>
      <c r="B15" s="11" t="s">
        <v>57</v>
      </c>
      <c r="C15" s="11" t="s">
        <v>141</v>
      </c>
    </row>
    <row r="16" customFormat="false" ht="21.75" hidden="false" customHeight="true" outlineLevel="0" collapsed="false">
      <c r="A16" s="47" t="s">
        <v>142</v>
      </c>
      <c r="B16" s="34" t="s">
        <v>95</v>
      </c>
      <c r="C16" s="33" t="s">
        <v>143</v>
      </c>
    </row>
    <row r="17" customFormat="false" ht="21.75" hidden="false" customHeight="true" outlineLevel="0" collapsed="false">
      <c r="A17" s="51" t="s">
        <v>144</v>
      </c>
      <c r="B17" s="39" t="s">
        <v>95</v>
      </c>
      <c r="C17" s="38" t="s">
        <v>143</v>
      </c>
    </row>
    <row r="18" customFormat="false" ht="21.75" hidden="false" customHeight="true" outlineLevel="0" collapsed="false">
      <c r="A18" s="47" t="s">
        <v>145</v>
      </c>
      <c r="B18" s="43" t="s">
        <v>90</v>
      </c>
      <c r="C18" s="33" t="s">
        <v>146</v>
      </c>
    </row>
    <row r="19" customFormat="false" ht="21.75" hidden="false" customHeight="true" outlineLevel="0" collapsed="false">
      <c r="A19" s="51" t="s">
        <v>147</v>
      </c>
      <c r="B19" s="44" t="s">
        <v>148</v>
      </c>
      <c r="C19" s="38" t="s">
        <v>149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2026-04-24T22:38:11Z</dcterms:created>
  <dc:creator>openpyxl</dc:creator>
  <dc:description/>
  <dc:language>en-US</dc:language>
  <cp:lastModifiedBy/>
  <dcterms:modified xsi:type="dcterms:W3CDTF">2026-04-24T22:38:11Z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