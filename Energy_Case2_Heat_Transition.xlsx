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Framework &amp; Assumptions" sheetId="2" state="visible" r:id="rId4"/>
    <sheet name="2. Property Profiles" sheetId="3" state="visible" r:id="rId5"/>
    <sheet name="3. Capex Model" sheetId="4" state="visible" r:id="rId6"/>
    <sheet name="4. Operating Cost Model" sheetId="5" state="visible" r:id="rId7"/>
    <sheet name="5.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<sst xmlns="http://schemas.openxmlformats.org/spreadsheetml/2006/main" count="208" uniqueCount="185">
  <si>
    <t xml:space="preserve">Heat or Heat Pump?</t>
  </si>
  <si>
    <t xml:space="preserve">Heating Transition Decision Framework — 4 Property Profiles, Germany</t>
  </si>
  <si>
    <t xml:space="preserve">Sector</t>
  </si>
  <si>
    <t xml:space="preserve">Energy &amp; Utilities</t>
  </si>
  <si>
    <t xml:space="preserve">Regulatory Context</t>
  </si>
  <si>
    <t xml:space="preserve">GEG 2024 — 65% renewable heating requirement</t>
  </si>
  <si>
    <t xml:space="preserve">Max BEG Subsidy</t>
  </si>
  <si>
    <t xml:space="preserve">70% / €21,000 per single-family home (KfW 2024)</t>
  </si>
  <si>
    <t xml:space="preserve">Property Profiles</t>
  </si>
  <si>
    <t xml:space="preserve">4 representative German property types</t>
  </si>
  <si>
    <t xml:space="preserve">Key Question</t>
  </si>
  <si>
    <t xml:space="preserve">Heat pump, district heating, or phased approach?</t>
  </si>
  <si>
    <t xml:space="preserve">Data Sources</t>
  </si>
  <si>
    <t xml:space="preserve">KfW · Verbraucherzentrale RLP · BDEW · BMWK · autarc.energy</t>
  </si>
  <si>
    <t xml:space="preserve">Contents</t>
  </si>
  <si>
    <t xml:space="preserve">1. Framework &amp; Assumptions</t>
  </si>
  <si>
    <t xml:space="preserve">Decision logic, BEG subsidy rates, energy price assumptions</t>
  </si>
  <si>
    <t xml:space="preserve">2. Property Profiles</t>
  </si>
  <si>
    <t xml:space="preserve">4 property profiles with key characteristics</t>
  </si>
  <si>
    <t xml:space="preserve">3. Capex Model</t>
  </si>
  <si>
    <t xml:space="preserve">Gross and net capex by profile and technology option</t>
  </si>
  <si>
    <t xml:space="preserve">4. Operating Cost Model</t>
  </si>
  <si>
    <t xml:space="preserve">Annual heating costs and payback calculation</t>
  </si>
  <si>
    <t xml:space="preserve">5. Dashboard</t>
  </si>
  <si>
    <t xml:space="preserve">Recommendations and summary outputs</t>
  </si>
  <si>
    <t xml:space="preserve">Decision Framework &amp; Model Assumptions</t>
  </si>
  <si>
    <t xml:space="preserve">A — BEG SUBSIDY STRUCTURE (KfW 2024)</t>
  </si>
  <si>
    <t xml:space="preserve">Component</t>
  </si>
  <si>
    <t xml:space="preserve">Rate</t>
  </si>
  <si>
    <t xml:space="preserve">Eligibility Condition</t>
  </si>
  <si>
    <t xml:space="preserve">Base rate</t>
  </si>
  <si>
    <t xml:space="preserve">30%</t>
  </si>
  <si>
    <t xml:space="preserve">All eligible heating replacements</t>
  </si>
  <si>
    <t xml:space="preserve">Efficiency bonus</t>
  </si>
  <si>
    <t xml:space="preserve">+5%</t>
  </si>
  <si>
    <t xml:space="preserve">Water/ground/wastewater heat source OR natural refrigerant</t>
  </si>
  <si>
    <t xml:space="preserve">Speed bonus</t>
  </si>
  <si>
    <t xml:space="preserve">+20%</t>
  </si>
  <si>
    <t xml:space="preserve">Owner-occupiers replacing gas/oil/biomass (20yr+) before 2028</t>
  </si>
  <si>
    <t xml:space="preserve">Income bonus</t>
  </si>
  <si>
    <t xml:space="preserve">+30%</t>
  </si>
  <si>
    <t xml:space="preserve">Owner-occupiers with taxable household income ≤ €40,000/year</t>
  </si>
  <si>
    <t xml:space="preserve">Maximum combined rate</t>
  </si>
  <si>
    <t xml:space="preserve">70%</t>
  </si>
  <si>
    <t xml:space="preserve">Capped regardless of stacking — cannot exceed 70%</t>
  </si>
  <si>
    <t xml:space="preserve">Maximum eligible costs</t>
  </si>
  <si>
    <t xml:space="preserve">€30,000</t>
  </si>
  <si>
    <t xml:space="preserve">Per housing unit for heating replacement</t>
  </si>
  <si>
    <t xml:space="preserve">Maximum subsidy</t>
  </si>
  <si>
    <t xml:space="preserve">€21,000</t>
  </si>
  <si>
    <t xml:space="preserve">70% × €30,000 — for single-family home owner-occupier</t>
  </si>
  <si>
    <t xml:space="preserve">B — ENERGY PRICE ASSUMPTIONS (2024)</t>
  </si>
  <si>
    <t xml:space="preserve">Energy Type</t>
  </si>
  <si>
    <t xml:space="preserve">Price (€/kWh)</t>
  </si>
  <si>
    <t xml:space="preserve">Source</t>
  </si>
  <si>
    <t xml:space="preserve">Household electricity</t>
  </si>
  <si>
    <t xml:space="preserve">0.30</t>
  </si>
  <si>
    <t xml:space="preserve">BDEW Energiemarkt Deutschland 2024 — down from €0.40/kWh peak 2022</t>
  </si>
  <si>
    <t xml:space="preserve">Natural gas</t>
  </si>
  <si>
    <t xml:space="preserve">0.09</t>
  </si>
  <si>
    <t xml:space="preserve">BDEW Energiemarkt Deutschland 2024</t>
  </si>
  <si>
    <t xml:space="preserve">Heating oil</t>
  </si>
  <si>
    <t xml:space="preserve">0.085</t>
  </si>
  <si>
    <t xml:space="preserve">Equivalent per kWh delivered heat; BDEW 2024</t>
  </si>
  <si>
    <t xml:space="preserve">District heating (delivered)</t>
  </si>
  <si>
    <t xml:space="preserve">0.11</t>
  </si>
  <si>
    <t xml:space="preserve">BDEW average delivered heat price 2024</t>
  </si>
  <si>
    <t xml:space="preserve">C — HEAT PUMP EFFICIENCY (COP) ASSUMPTIONS</t>
  </si>
  <si>
    <t xml:space="preserve">Building Type</t>
  </si>
  <si>
    <t xml:space="preserve">COP Applied</t>
  </si>
  <si>
    <t xml:space="preserve">Basis</t>
  </si>
  <si>
    <t xml:space="preserve">Well-insulated (post-2000, KfW 70+)</t>
  </si>
  <si>
    <t xml:space="preserve">3.8</t>
  </si>
  <si>
    <t xml:space="preserve">Low-temperature radiators / underfloor — HP optimal operating range</t>
  </si>
  <si>
    <t xml:space="preserve">Moderate insulation (1985–2000, partial upgrade)</t>
  </si>
  <si>
    <t xml:space="preserve">3.2</t>
  </si>
  <si>
    <t xml:space="preserve">Mix of radiator types — some efficiency loss</t>
  </si>
  <si>
    <t xml:space="preserve">Poor insulation (pre-1985, unrenovated)</t>
  </si>
  <si>
    <t xml:space="preserve">2.2</t>
  </si>
  <si>
    <t xml:space="preserve">High-temperature demand — HP significantly below design COP</t>
  </si>
  <si>
    <t xml:space="preserve">Excellent insulation (KfW 55 or better)</t>
  </si>
  <si>
    <t xml:space="preserve">4.0</t>
  </si>
  <si>
    <t xml:space="preserve">Near-optimal conditions for HP operation</t>
  </si>
  <si>
    <t xml:space="preserve">Property Profiles — 4 Representative German Properties</t>
  </si>
  <si>
    <t xml:space="preserve">Profiles reflect common German housing stock per BBSR housing statistics. Each profile produces a different framework output.</t>
  </si>
  <si>
    <t xml:space="preserve">Profile</t>
  </si>
  <si>
    <t xml:space="preserve">Property Type</t>
  </si>
  <si>
    <t xml:space="preserve">Build Year</t>
  </si>
  <si>
    <t xml:space="preserve">Insulation</t>
  </si>
  <si>
    <t xml:space="preserve">Current Heating</t>
  </si>
  <si>
    <t xml:space="preserve">DH Available</t>
  </si>
  <si>
    <t xml:space="preserve">Owner Type</t>
  </si>
  <si>
    <t xml:space="preserve">Annual Heat Demand (kWh)</t>
  </si>
  <si>
    <t xml:space="preserve">Framework Output</t>
  </si>
  <si>
    <t xml:space="preserve">A</t>
  </si>
  <si>
    <t xml:space="preserve">Detached house 140m²</t>
  </si>
  <si>
    <t xml:space="preserve">Good (KfW 70)</t>
  </si>
  <si>
    <t xml:space="preserve">Gas boiler, 8 yrs</t>
  </si>
  <si>
    <t xml:space="preserve">Yes — 2026</t>
  </si>
  <si>
    <t xml:space="preserve">Owner-occupier</t>
  </si>
  <si>
    <t xml:space="preserve">Connect DH</t>
  </si>
  <si>
    <t xml:space="preserve">B</t>
  </si>
  <si>
    <t xml:space="preserve">Detached house 160m²</t>
  </si>
  <si>
    <t xml:space="preserve">Poor (unrenovated)</t>
  </si>
  <si>
    <t xml:space="preserve">Oil boiler, 22 yrs</t>
  </si>
  <si>
    <t xml:space="preserve">No coverage</t>
  </si>
  <si>
    <t xml:space="preserve">Phase: retrofit + HP</t>
  </si>
  <si>
    <t xml:space="preserve">C</t>
  </si>
  <si>
    <t xml:space="preserve">4-unit apt building</t>
  </si>
  <si>
    <t xml:space="preserve">Moderate (partial)</t>
  </si>
  <si>
    <t xml:space="preserve">Gas central, 14 yrs</t>
  </si>
  <si>
    <t xml:space="preserve">Yes — 2027</t>
  </si>
  <si>
    <t xml:space="preserve">Landlord</t>
  </si>
  <si>
    <t xml:space="preserve">D</t>
  </si>
  <si>
    <t xml:space="preserve">Terraced house 110m²</t>
  </si>
  <si>
    <t xml:space="preserve">Excellent (KfW 55)</t>
  </si>
  <si>
    <t xml:space="preserve">Gas condensing, 3 yrs</t>
  </si>
  <si>
    <t xml:space="preserve">Owner-occ, income &lt;€40k</t>
  </si>
  <si>
    <t xml:space="preserve">Install heat pump</t>
  </si>
  <si>
    <t xml:space="preserve">Capital Cost Model — Gross and Net Cost by Profile and Technology</t>
  </si>
  <si>
    <t xml:space="preserve">Heat pump costs: Verbraucherzentrale Rheinland-Pfalz (2024/2025), 160 real installation offers. BEG subsidy per KfW programme documentation 2024.</t>
  </si>
  <si>
    <t xml:space="preserve">HP Gross (€)</t>
  </si>
  <si>
    <t xml:space="preserve">Retrofit (€)</t>
  </si>
  <si>
    <t xml:space="preserve">DH Connect (€)</t>
  </si>
  <si>
    <t xml:space="preserve">Total Gross HP (€)</t>
  </si>
  <si>
    <t xml:space="preserve">BEG Rate</t>
  </si>
  <si>
    <t xml:space="preserve">BEG Subsidy (€)</t>
  </si>
  <si>
    <t xml:space="preserve">Net HP Cost (€)</t>
  </si>
  <si>
    <t xml:space="preserve">Recommended Option</t>
  </si>
  <si>
    <t xml:space="preserve">Net Cost (€)</t>
  </si>
  <si>
    <t xml:space="preserve">Phase HP+Retrofit</t>
  </si>
  <si>
    <t xml:space="preserve">Heat Pump</t>
  </si>
  <si>
    <t xml:space="preserve">Annual Operating Cost &amp; Payback Model</t>
  </si>
  <si>
    <t xml:space="preserve">Annual costs at 2024 energy prices. HP operating cost = Heat demand ÷ COP × electricity price. Payback = Net capex ÷ Annual saving vs current system.</t>
  </si>
  <si>
    <t xml:space="preserve">Current Annual Cost (€)</t>
  </si>
  <si>
    <t xml:space="preserve">Recommended Cost (€)</t>
  </si>
  <si>
    <t xml:space="preserve">Annual Saving (€)</t>
  </si>
  <si>
    <t xml:space="preserve">Net Capex (€)</t>
  </si>
  <si>
    <t xml:space="preserve">Simple Payback (yrs)</t>
  </si>
  <si>
    <t xml:space="preserve">Decision</t>
  </si>
  <si>
    <t xml:space="preserve">Wait for DH 2026</t>
  </si>
  <si>
    <t xml:space="preserve">HP + Retrofit</t>
  </si>
  <si>
    <t xml:space="preserve">Phase: retrofit first</t>
  </si>
  <si>
    <t xml:space="preserve">Connect DH 2027</t>
  </si>
  <si>
    <t xml:space="preserve">Heat pump</t>
  </si>
  <si>
    <t xml:space="preserve">Act before 2028 — subsidy maximised</t>
  </si>
  <si>
    <t xml:space="preserve">Heat or Heat Pump? — Decision Dashboard</t>
  </si>
  <si>
    <t xml:space="preserve">Energy Case Study 02 · Heat Transition Framework · Shivam Asthana</t>
  </si>
  <si>
    <t xml:space="preserve">KEY METRICS</t>
  </si>
  <si>
    <t xml:space="preserve">Typical HP Install Cost</t>
  </si>
  <si>
    <t xml:space="preserve">Speed Bonus Deadline</t>
  </si>
  <si>
    <t xml:space="preserve">HP Break-Even (Profile D)</t>
  </si>
  <si>
    <t xml:space="preserve">70% / €21k</t>
  </si>
  <si>
    <t xml:space="preserve">2028</t>
  </si>
  <si>
    <t xml:space="preserve">6 yrs</t>
  </si>
  <si>
    <t xml:space="preserve">Owner-occ, income &lt;€40k, speed bonus</t>
  </si>
  <si>
    <t xml:space="preserve">Average 2025 — down from €36k in 2024</t>
  </si>
  <si>
    <t xml:space="preserve">Replace before 2028 for +20% bonus</t>
  </si>
  <si>
    <t xml:space="preserve">Payback at maximum subsidy, best-fit building</t>
  </si>
  <si>
    <t xml:space="preserve">FRAMEWORK OUTPUTS BY PROFILE</t>
  </si>
  <si>
    <t xml:space="preserve">Recommendation</t>
  </si>
  <si>
    <t xml:space="preserve">Primary Reason</t>
  </si>
  <si>
    <t xml:space="preserve">Net Cost</t>
  </si>
  <si>
    <t xml:space="preserve">A — 2005 detached</t>
  </si>
  <si>
    <t xml:space="preserve">Connect to district heating</t>
  </si>
  <si>
    <t xml:space="preserve">DH available 2026. Lower capex, no building works.</t>
  </si>
  <si>
    <t xml:space="preserve">€8,000</t>
  </si>
  <si>
    <t xml:space="preserve">B — 1978 detached</t>
  </si>
  <si>
    <t xml:space="preserve">Phase: retrofit first, HP second</t>
  </si>
  <si>
    <t xml:space="preserve">Heat pump unviable without envelope upgrade. Phased approach only viable path.</t>
  </si>
  <si>
    <t xml:space="preserve">€29,000</t>
  </si>
  <si>
    <t xml:space="preserve">C — 1992 apt block</t>
  </si>
  <si>
    <t xml:space="preserve">Multi-unit DH economics dominate. Landlord subsidy rate limits HP case.</t>
  </si>
  <si>
    <t xml:space="preserve">€18,000</t>
  </si>
  <si>
    <t xml:space="preserve">D — 2015 terraced</t>
  </si>
  <si>
    <t xml:space="preserve">Install heat pump — before 2028</t>
  </si>
  <si>
    <t xml:space="preserve">Maximum subsidy (70%). Excellent building. 6yr payback on net cost.</t>
  </si>
  <si>
    <t xml:space="preserve">€7,000</t>
  </si>
  <si>
    <t xml:space="preserve">THREE ADVISORY FAILURE MODES THIS FRAMEWORK PREVENTS</t>
  </si>
  <si>
    <t xml:space="preserve">HP in unsuitable buildings</t>
  </si>
  <si>
    <t xml:space="preserve">Recommending heat pump in pre-1985 poorly insulated properties without flagging retrofit dependency — produces misleading operating cost comparisons.</t>
  </si>
  <si>
    <t xml:space="preserve">Missing DH opportunity</t>
  </si>
  <si>
    <t xml:space="preserve">Advising HP installation when district heating connection is available within 1–2 years — higher capex, more disruption, misses simpler solution.</t>
  </si>
  <si>
    <t xml:space="preserve">Wrong subsidy for landlords</t>
  </si>
  <si>
    <t xml:space="preserve">Applying owner-occupier subsidy stack (up to 70%) to landlord cases — actual rate is 30–35%. Creates incorrect payback calculations.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</si>
</sst>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€0.00"/>
    <numFmt numFmtId="166" formatCode="#,##0"/>
    <numFmt numFmtId="167" formatCode="\€#,##0"/>
    <numFmt numFmtId="168" formatCode="0%"/>
    <numFmt numFmtId="169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C3F6E"/>
      <name val="Arial"/>
      <family val="0"/>
      <charset val="1"/>
    </font>
    <font>
      <sz val="12"/>
      <color rgb="FF6B6860"/>
      <name val="Arial"/>
      <family val="0"/>
      <charset val="1"/>
    </font>
    <font>
      <b val="true"/>
      <sz val="9"/>
      <color rgb="FF6B6860"/>
      <name val="Arial"/>
      <family val="0"/>
      <charset val="1"/>
    </font>
    <font>
      <sz val="9"/>
      <color rgb="FF181818"/>
      <name val="Arial"/>
      <family val="0"/>
      <charset val="1"/>
    </font>
    <font>
      <b val="true"/>
      <sz val="11"/>
      <color rgb="FF1C3F6E"/>
      <name val="Arial"/>
      <family val="0"/>
      <charset val="1"/>
    </font>
    <font>
      <b val="true"/>
      <sz val="9"/>
      <color rgb="FF1C3F6E"/>
      <name val="Arial"/>
      <family val="0"/>
      <charset val="1"/>
    </font>
    <font>
      <sz val="9"/>
      <color rgb="FF6B6860"/>
      <name val="Arial"/>
      <family val="0"/>
      <charset val="1"/>
    </font>
    <font>
      <b val="true"/>
      <sz val="13"/>
      <color rgb="FF1C3F6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81818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8"/>
      <color rgb="FF6B6860"/>
      <name val="Arial"/>
      <family val="0"/>
      <charset val="1"/>
    </font>
    <font>
      <b val="true"/>
      <sz val="9"/>
      <color rgb="FFC07A1A"/>
      <name val="Arial"/>
      <family val="0"/>
      <charset val="1"/>
    </font>
    <font>
      <b val="true"/>
      <sz val="9"/>
      <color rgb="FF2E7D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C0392B"/>
      <name val="Arial"/>
      <family val="0"/>
      <charset val="1"/>
    </font>
    <font>
      <b val="true"/>
      <sz val="15"/>
      <color rgb="FF1C3F6E"/>
      <name val="Arial"/>
      <family val="0"/>
      <charset val="1"/>
    </font>
    <font>
      <i val="true"/>
      <sz val="9"/>
      <color rgb="FF6B6860"/>
      <name val="Arial"/>
      <family val="0"/>
      <charset val="1"/>
    </font>
    <font>
      <sz val="8"/>
      <color rgb="FF6B6860"/>
      <name val="Arial"/>
      <family val="0"/>
      <charset val="1"/>
    </font>
    <font>
      <b val="true"/>
      <sz val="14"/>
      <color rgb="FF1C3F6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C3F6E"/>
        <bgColor rgb="FF333399"/>
      </patternFill>
    </fill>
    <fill>
      <patternFill patternType="solid">
        <fgColor rgb="FFEBF2FA"/>
        <bgColor rgb="FFEBF5EF"/>
      </patternFill>
    </fill>
    <fill>
      <patternFill patternType="solid">
        <fgColor rgb="FFFFFFFF"/>
        <bgColor rgb="FFFDF5E6"/>
      </patternFill>
    </fill>
    <fill>
      <patternFill patternType="solid">
        <fgColor rgb="FFFDF5E6"/>
        <bgColor rgb="FFFDECEA"/>
      </patternFill>
    </fill>
    <fill>
      <patternFill patternType="solid">
        <fgColor rgb="FFEBF5EF"/>
        <bgColor rgb="FFEBF2FA"/>
      </patternFill>
    </fill>
    <fill>
      <patternFill patternType="solid">
        <fgColor rgb="FFFDECEA"/>
        <bgColor rgb="FFFDF5E6"/>
      </patternFill>
    </fill>
    <fill>
      <patternFill patternType="solid">
        <fgColor rgb="FFD6E4F0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EC6"/>
      </left>
      <right style="thin">
        <color rgb="FFD0CEC6"/>
      </right>
      <top style="thin">
        <color rgb="FFD0CEC6"/>
      </top>
      <bottom style="thin">
        <color rgb="FFD0CEC6"/>
      </bottom>
      <diagonal/>
    </border>
    <border diagonalUp="false" diagonalDown="false">
      <left style="thin">
        <color rgb="FFD0CEC6"/>
      </left>
      <right/>
      <top style="thin">
        <color rgb="FFD0CEC6"/>
      </top>
      <bottom style="thin">
        <color rgb="FFD0C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A1A"/>
      <rgbColor rgb="FF800080"/>
      <rgbColor rgb="FF008080"/>
      <rgbColor rgb="FFD0CEC6"/>
      <rgbColor rgb="FF878787"/>
      <rgbColor rgb="FF9999FF"/>
      <rgbColor rgb="FF993366"/>
      <rgbColor rgb="FFFDF5E6"/>
      <rgbColor rgb="FFEBF5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2FA"/>
      <rgbColor rgb="FFD6E4F0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860"/>
      <rgbColor rgb="FF969696"/>
      <rgbColor rgb="FF1C3F6E"/>
      <rgbColor rgb="FF2E7D55"/>
      <rgbColor rgb="FF181818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vs Net Capex by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 Capex Model'!E6</c:f>
              <c:strCache>
                <c:ptCount val="1"/>
                <c:pt idx="0">
                  <c:v>DH Connect (€)</c:v>
                </c:pt>
              </c:strCache>
            </c:strRef>
          </c:tx>
          <c:spPr>
            <a:solidFill>
              <a:srgbClr val="1c3f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Capex Model'!$B$7:$B$10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'3. Capex Model'!$E$7:$E$10</c:f>
              <c:numCache>
                <c:formatCode>\€#,##0</c:formatCode>
                <c:ptCount val="4"/>
                <c:pt idx="0">
                  <c:v>8000</c:v>
                </c:pt>
                <c:pt idx="1">
                  <c:v>0</c:v>
                </c:pt>
                <c:pt idx="2">
                  <c:v>18000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'3. Capex Model'!I6</c:f>
              <c:strCache>
                <c:ptCount val="1"/>
                <c:pt idx="0">
                  <c:v>Net HP Cost (€)</c:v>
                </c:pt>
              </c:strCache>
            </c:strRef>
          </c:tx>
          <c:spPr>
            <a:solidFill>
              <a:srgbClr val="2e7d5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Capex Model'!$B$7:$B$10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'3. Capex Model'!$I$7:$I$10</c:f>
              <c:numCache>
                <c:formatCode>\€#,##0</c:formatCode>
                <c:ptCount val="4"/>
                <c:pt idx="0">
                  <c:v>19500</c:v>
                </c:pt>
                <c:pt idx="1">
                  <c:v>20800</c:v>
                </c:pt>
                <c:pt idx="2">
                  <c:v>31200</c:v>
                </c:pt>
                <c:pt idx="3">
                  <c:v>8400</c:v>
                </c:pt>
              </c:numCache>
            </c:numRef>
          </c:val>
        </c:ser>
        <c:gapWidth val="150"/>
        <c:overlap val="0"/>
        <c:axId val="96233549"/>
        <c:axId val="59874846"/>
      </c:barChart>
      <c:catAx>
        <c:axId val="962335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74846"/>
        <c:crosses val="autoZero"/>
        <c:auto val="1"/>
        <c:lblAlgn val="ctr"/>
        <c:lblOffset val="100"/>
        <c:noMultiLvlLbl val="0"/>
      </c:catAx>
      <c:valAx>
        <c:axId val="59874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335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8</xdr:col>
      <xdr:colOff>871200</xdr:colOff>
      <xdr:row>39</xdr:row>
      <xdr:rowOff>86760</xdr:rowOff>
    </xdr:to>
    <xdr:graphicFrame>
      <xdr:nvGraphicFramePr>
        <xdr:cNvPr id="0" name="Chart 1"/>
        <xdr:cNvGraphicFramePr/>
      </xdr:nvGraphicFramePr>
      <xdr:xfrm>
        <a:off x="141120" y="3314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5"/>
    <col collapsed="false" customWidth="true" hidden="false" outlineLevel="0" max="4" min="4" style="0" width="20"/>
  </cols>
  <sheetData>
    <row r="2" customFormat="false" ht="49.5" hidden="false" customHeight="true" outlineLevel="0" collapsed="false">
      <c r="B2" s="1" t="s">
        <v>0</v>
      </c>
      <c r="C2" s="1"/>
      <c r="D2" s="1"/>
    </row>
    <row r="3" customFormat="false" ht="27.75" hidden="false" customHeight="true" outlineLevel="0" collapsed="false">
      <c r="B3" s="2" t="s">
        <v>1</v>
      </c>
      <c r="C3" s="2"/>
      <c r="D3" s="2"/>
    </row>
    <row r="4" customFormat="false" ht="3" hidden="false" customHeight="true" outlineLevel="0" collapsed="false">
      <c r="B4" s="3"/>
      <c r="C4" s="3"/>
      <c r="D4" s="3"/>
    </row>
    <row r="5" customFormat="false" ht="15.75" hidden="false" customHeight="true" outlineLevel="0" collapsed="false">
      <c r="B5" s="4" t="s">
        <v>2</v>
      </c>
      <c r="C5" s="5" t="s">
        <v>3</v>
      </c>
    </row>
    <row r="6" customFormat="false" ht="15.75" hidden="false" customHeight="true" outlineLevel="0" collapsed="false">
      <c r="B6" s="4" t="s">
        <v>4</v>
      </c>
      <c r="C6" s="5" t="s">
        <v>5</v>
      </c>
    </row>
    <row r="7" customFormat="false" ht="15.75" hidden="false" customHeight="true" outlineLevel="0" collapsed="false">
      <c r="B7" s="4" t="s">
        <v>6</v>
      </c>
      <c r="C7" s="5" t="s">
        <v>7</v>
      </c>
    </row>
    <row r="8" customFormat="false" ht="15.75" hidden="false" customHeight="true" outlineLevel="0" collapsed="false">
      <c r="B8" s="4" t="s">
        <v>8</v>
      </c>
      <c r="C8" s="5" t="s">
        <v>9</v>
      </c>
    </row>
    <row r="9" customFormat="false" ht="15.75" hidden="false" customHeight="true" outlineLevel="0" collapsed="false">
      <c r="B9" s="4" t="s">
        <v>10</v>
      </c>
      <c r="C9" s="5" t="s">
        <v>11</v>
      </c>
    </row>
    <row r="10" customFormat="false" ht="15.75" hidden="false" customHeight="true" outlineLevel="0" collapsed="false">
      <c r="B10" s="4" t="s">
        <v>12</v>
      </c>
      <c r="C10" s="5" t="s">
        <v>13</v>
      </c>
    </row>
    <row r="12" customFormat="false" ht="19.5" hidden="false" customHeight="true" outlineLevel="0" collapsed="false">
      <c r="B12" s="6" t="s">
        <v>14</v>
      </c>
    </row>
    <row r="13" customFormat="false" ht="15.75" hidden="false" customHeight="true" outlineLevel="0" collapsed="false">
      <c r="B13" s="7" t="s">
        <v>15</v>
      </c>
      <c r="C13" s="8" t="s">
        <v>16</v>
      </c>
    </row>
    <row r="14" customFormat="false" ht="15.75" hidden="false" customHeight="true" outlineLevel="0" collapsed="false">
      <c r="B14" s="7" t="s">
        <v>17</v>
      </c>
      <c r="C14" s="8" t="s">
        <v>18</v>
      </c>
    </row>
    <row r="15" customFormat="false" ht="15.75" hidden="false" customHeight="true" outlineLevel="0" collapsed="false">
      <c r="B15" s="7" t="s">
        <v>19</v>
      </c>
      <c r="C15" s="8" t="s">
        <v>20</v>
      </c>
    </row>
    <row r="16" customFormat="false" ht="15.75" hidden="false" customHeight="true" outlineLevel="0" collapsed="false">
      <c r="B16" s="7" t="s">
        <v>21</v>
      </c>
      <c r="C16" s="8" t="s">
        <v>22</v>
      </c>
    </row>
    <row r="17" customFormat="false" ht="15.75" hidden="false" customHeight="true" outlineLevel="0" collapsed="false">
      <c r="B17" s="7" t="s">
        <v>23</v>
      </c>
      <c r="C17" s="8" t="s">
        <v>24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"/>
  </cols>
  <sheetData>
    <row r="2" customFormat="false" ht="27.75" hidden="false" customHeight="true" outlineLevel="0" collapsed="false">
      <c r="B2" s="9" t="s">
        <v>25</v>
      </c>
      <c r="C2" s="9"/>
      <c r="D2" s="9"/>
    </row>
    <row r="4" customFormat="false" ht="19.5" hidden="false" customHeight="true" outlineLevel="0" collapsed="false">
      <c r="B4" s="10" t="s">
        <v>26</v>
      </c>
      <c r="C4" s="10"/>
      <c r="D4" s="10"/>
    </row>
    <row r="5" customFormat="false" ht="27.75" hidden="false" customHeight="true" outlineLevel="0" collapsed="false">
      <c r="B5" s="10" t="s">
        <v>27</v>
      </c>
      <c r="C5" s="10" t="s">
        <v>28</v>
      </c>
      <c r="D5" s="10" t="s">
        <v>29</v>
      </c>
    </row>
    <row r="6" customFormat="false" ht="18" hidden="false" customHeight="true" outlineLevel="0" collapsed="false">
      <c r="B6" s="11" t="s">
        <v>30</v>
      </c>
      <c r="C6" s="12" t="s">
        <v>31</v>
      </c>
      <c r="D6" s="11" t="s">
        <v>32</v>
      </c>
    </row>
    <row r="7" customFormat="false" ht="18" hidden="false" customHeight="true" outlineLevel="0" collapsed="false">
      <c r="B7" s="11" t="s">
        <v>33</v>
      </c>
      <c r="C7" s="12" t="s">
        <v>34</v>
      </c>
      <c r="D7" s="11" t="s">
        <v>35</v>
      </c>
    </row>
    <row r="8" customFormat="false" ht="18" hidden="false" customHeight="true" outlineLevel="0" collapsed="false">
      <c r="B8" s="11" t="s">
        <v>36</v>
      </c>
      <c r="C8" s="12" t="s">
        <v>37</v>
      </c>
      <c r="D8" s="11" t="s">
        <v>38</v>
      </c>
    </row>
    <row r="9" customFormat="false" ht="18" hidden="false" customHeight="true" outlineLevel="0" collapsed="false">
      <c r="B9" s="11" t="s">
        <v>39</v>
      </c>
      <c r="C9" s="12" t="s">
        <v>40</v>
      </c>
      <c r="D9" s="11" t="s">
        <v>41</v>
      </c>
    </row>
    <row r="10" customFormat="false" ht="18" hidden="false" customHeight="true" outlineLevel="0" collapsed="false">
      <c r="B10" s="11" t="s">
        <v>42</v>
      </c>
      <c r="C10" s="12" t="s">
        <v>43</v>
      </c>
      <c r="D10" s="11" t="s">
        <v>44</v>
      </c>
    </row>
    <row r="11" customFormat="false" ht="18" hidden="false" customHeight="true" outlineLevel="0" collapsed="false">
      <c r="B11" s="11" t="s">
        <v>45</v>
      </c>
      <c r="C11" s="12" t="s">
        <v>46</v>
      </c>
      <c r="D11" s="11" t="s">
        <v>47</v>
      </c>
    </row>
    <row r="12" customFormat="false" ht="18" hidden="false" customHeight="true" outlineLevel="0" collapsed="false">
      <c r="B12" s="13" t="s">
        <v>48</v>
      </c>
      <c r="C12" s="14" t="s">
        <v>49</v>
      </c>
      <c r="D12" s="13" t="s">
        <v>50</v>
      </c>
    </row>
    <row r="15" customFormat="false" ht="19.5" hidden="false" customHeight="true" outlineLevel="0" collapsed="false">
      <c r="B15" s="10" t="s">
        <v>51</v>
      </c>
      <c r="C15" s="10"/>
      <c r="D15" s="10"/>
    </row>
    <row r="16" customFormat="false" ht="27.75" hidden="false" customHeight="true" outlineLevel="0" collapsed="false">
      <c r="B16" s="10" t="s">
        <v>52</v>
      </c>
      <c r="C16" s="10" t="s">
        <v>53</v>
      </c>
      <c r="D16" s="10" t="s">
        <v>54</v>
      </c>
    </row>
    <row r="17" customFormat="false" ht="15.75" hidden="false" customHeight="true" outlineLevel="0" collapsed="false">
      <c r="B17" s="11" t="s">
        <v>55</v>
      </c>
      <c r="C17" s="15" t="s">
        <v>56</v>
      </c>
      <c r="D17" s="11" t="s">
        <v>57</v>
      </c>
    </row>
    <row r="18" customFormat="false" ht="15.75" hidden="false" customHeight="true" outlineLevel="0" collapsed="false">
      <c r="B18" s="11" t="s">
        <v>58</v>
      </c>
      <c r="C18" s="15" t="s">
        <v>59</v>
      </c>
      <c r="D18" s="11" t="s">
        <v>60</v>
      </c>
    </row>
    <row r="19" customFormat="false" ht="15.75" hidden="false" customHeight="true" outlineLevel="0" collapsed="false">
      <c r="B19" s="11" t="s">
        <v>61</v>
      </c>
      <c r="C19" s="15" t="s">
        <v>62</v>
      </c>
      <c r="D19" s="11" t="s">
        <v>63</v>
      </c>
    </row>
    <row r="20" customFormat="false" ht="15.75" hidden="false" customHeight="true" outlineLevel="0" collapsed="false">
      <c r="B20" s="11" t="s">
        <v>64</v>
      </c>
      <c r="C20" s="15" t="s">
        <v>65</v>
      </c>
      <c r="D20" s="11" t="s">
        <v>66</v>
      </c>
    </row>
    <row r="23" customFormat="false" ht="19.5" hidden="false" customHeight="true" outlineLevel="0" collapsed="false">
      <c r="B23" s="10" t="s">
        <v>67</v>
      </c>
      <c r="C23" s="10"/>
      <c r="D23" s="10"/>
    </row>
    <row r="24" customFormat="false" ht="27.75" hidden="false" customHeight="true" outlineLevel="0" collapsed="false">
      <c r="B24" s="10" t="s">
        <v>68</v>
      </c>
      <c r="C24" s="10" t="s">
        <v>69</v>
      </c>
      <c r="D24" s="10" t="s">
        <v>70</v>
      </c>
    </row>
    <row r="25" customFormat="false" ht="18" hidden="false" customHeight="true" outlineLevel="0" collapsed="false">
      <c r="B25" s="11" t="s">
        <v>71</v>
      </c>
      <c r="C25" s="12" t="s">
        <v>72</v>
      </c>
      <c r="D25" s="11" t="s">
        <v>73</v>
      </c>
    </row>
    <row r="26" customFormat="false" ht="18" hidden="false" customHeight="true" outlineLevel="0" collapsed="false">
      <c r="B26" s="11" t="s">
        <v>74</v>
      </c>
      <c r="C26" s="12" t="s">
        <v>75</v>
      </c>
      <c r="D26" s="11" t="s">
        <v>76</v>
      </c>
    </row>
    <row r="27" customFormat="false" ht="18" hidden="false" customHeight="true" outlineLevel="0" collapsed="false">
      <c r="B27" s="11" t="s">
        <v>77</v>
      </c>
      <c r="C27" s="12" t="s">
        <v>78</v>
      </c>
      <c r="D27" s="11" t="s">
        <v>79</v>
      </c>
    </row>
    <row r="28" customFormat="false" ht="18" hidden="false" customHeight="true" outlineLevel="0" collapsed="false">
      <c r="B28" s="11" t="s">
        <v>80</v>
      </c>
      <c r="C28" s="12" t="s">
        <v>81</v>
      </c>
      <c r="D28" s="11" t="s">
        <v>82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2"/>
  </cols>
  <sheetData>
    <row r="2" customFormat="false" ht="27.75" hidden="false" customHeight="true" outlineLevel="0" collapsed="false">
      <c r="B2" s="9" t="s">
        <v>83</v>
      </c>
      <c r="C2" s="9"/>
      <c r="D2" s="9"/>
      <c r="E2" s="9"/>
      <c r="F2" s="9"/>
      <c r="G2" s="9"/>
      <c r="H2" s="9"/>
      <c r="I2" s="9"/>
      <c r="J2" s="9"/>
      <c r="K2" s="9"/>
    </row>
    <row r="3" customFormat="false" ht="15.75" hidden="false" customHeight="true" outlineLevel="0" collapsed="false">
      <c r="B3" s="16" t="s">
        <v>84</v>
      </c>
      <c r="C3" s="16"/>
      <c r="D3" s="16"/>
      <c r="E3" s="16"/>
      <c r="F3" s="16"/>
      <c r="G3" s="16"/>
      <c r="H3" s="16"/>
      <c r="I3" s="16"/>
      <c r="J3" s="16"/>
      <c r="K3" s="16"/>
    </row>
    <row r="5" customFormat="false" ht="19.5" hidden="false" customHeight="true" outlineLevel="0" collapsed="false">
      <c r="B5" s="10"/>
      <c r="C5" s="10"/>
      <c r="D5" s="10"/>
      <c r="E5" s="10"/>
      <c r="F5" s="10"/>
      <c r="G5" s="10"/>
      <c r="H5" s="10"/>
      <c r="I5" s="10"/>
      <c r="J5" s="10"/>
      <c r="K5" s="10"/>
    </row>
    <row r="6" customFormat="false" ht="36" hidden="false" customHeight="true" outlineLevel="0" collapsed="false">
      <c r="B6" s="10" t="s">
        <v>85</v>
      </c>
      <c r="C6" s="10" t="s">
        <v>86</v>
      </c>
      <c r="D6" s="10" t="s">
        <v>87</v>
      </c>
      <c r="E6" s="10" t="s">
        <v>88</v>
      </c>
      <c r="F6" s="10" t="s">
        <v>89</v>
      </c>
      <c r="G6" s="10" t="s">
        <v>90</v>
      </c>
      <c r="H6" s="10" t="s">
        <v>91</v>
      </c>
      <c r="I6" s="10" t="s">
        <v>92</v>
      </c>
      <c r="J6" s="10" t="s">
        <v>69</v>
      </c>
      <c r="K6" s="10" t="s">
        <v>93</v>
      </c>
    </row>
    <row r="7" customFormat="false" ht="21.75" hidden="false" customHeight="true" outlineLevel="0" collapsed="false">
      <c r="B7" s="17" t="s">
        <v>94</v>
      </c>
      <c r="C7" s="18" t="s">
        <v>95</v>
      </c>
      <c r="D7" s="19" t="n">
        <v>2005</v>
      </c>
      <c r="E7" s="20" t="s">
        <v>96</v>
      </c>
      <c r="F7" s="20" t="s">
        <v>97</v>
      </c>
      <c r="G7" s="20" t="s">
        <v>98</v>
      </c>
      <c r="H7" s="20" t="s">
        <v>99</v>
      </c>
      <c r="I7" s="21" t="n">
        <v>15000</v>
      </c>
      <c r="J7" s="19" t="n">
        <v>3.8</v>
      </c>
      <c r="K7" s="22" t="s">
        <v>100</v>
      </c>
    </row>
    <row r="8" customFormat="false" ht="21.75" hidden="false" customHeight="true" outlineLevel="0" collapsed="false">
      <c r="B8" s="23" t="s">
        <v>101</v>
      </c>
      <c r="C8" s="24" t="s">
        <v>102</v>
      </c>
      <c r="D8" s="19" t="n">
        <v>1978</v>
      </c>
      <c r="E8" s="20" t="s">
        <v>103</v>
      </c>
      <c r="F8" s="20" t="s">
        <v>104</v>
      </c>
      <c r="G8" s="20" t="s">
        <v>105</v>
      </c>
      <c r="H8" s="20" t="s">
        <v>99</v>
      </c>
      <c r="I8" s="21" t="n">
        <v>22000</v>
      </c>
      <c r="J8" s="19" t="n">
        <v>2.2</v>
      </c>
      <c r="K8" s="25" t="s">
        <v>106</v>
      </c>
    </row>
    <row r="9" customFormat="false" ht="21.75" hidden="false" customHeight="true" outlineLevel="0" collapsed="false">
      <c r="B9" s="17" t="s">
        <v>107</v>
      </c>
      <c r="C9" s="18" t="s">
        <v>108</v>
      </c>
      <c r="D9" s="19" t="n">
        <v>1992</v>
      </c>
      <c r="E9" s="20" t="s">
        <v>109</v>
      </c>
      <c r="F9" s="20" t="s">
        <v>110</v>
      </c>
      <c r="G9" s="20" t="s">
        <v>111</v>
      </c>
      <c r="H9" s="20" t="s">
        <v>112</v>
      </c>
      <c r="I9" s="21" t="n">
        <v>45000</v>
      </c>
      <c r="J9" s="19" t="n">
        <v>3.5</v>
      </c>
      <c r="K9" s="22" t="s">
        <v>100</v>
      </c>
    </row>
    <row r="10" customFormat="false" ht="21.75" hidden="false" customHeight="true" outlineLevel="0" collapsed="false">
      <c r="B10" s="26" t="s">
        <v>113</v>
      </c>
      <c r="C10" s="27" t="s">
        <v>114</v>
      </c>
      <c r="D10" s="19" t="n">
        <v>2015</v>
      </c>
      <c r="E10" s="20" t="s">
        <v>115</v>
      </c>
      <c r="F10" s="20" t="s">
        <v>116</v>
      </c>
      <c r="G10" s="20" t="s">
        <v>105</v>
      </c>
      <c r="H10" s="20" t="s">
        <v>117</v>
      </c>
      <c r="I10" s="21" t="n">
        <v>12000</v>
      </c>
      <c r="J10" s="19" t="n">
        <v>4</v>
      </c>
      <c r="K10" s="28" t="s">
        <v>118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10" min="10" style="0" width="2"/>
  </cols>
  <sheetData>
    <row r="2" customFormat="false" ht="27.75" hidden="false" customHeight="true" outlineLevel="0" collapsed="false">
      <c r="B2" s="9" t="s">
        <v>119</v>
      </c>
      <c r="C2" s="9"/>
      <c r="D2" s="9"/>
      <c r="E2" s="9"/>
      <c r="F2" s="9"/>
      <c r="G2" s="9"/>
      <c r="H2" s="9"/>
      <c r="I2" s="9"/>
      <c r="J2" s="9"/>
    </row>
    <row r="3" customFormat="false" ht="15.75" hidden="false" customHeight="true" outlineLevel="0" collapsed="false">
      <c r="B3" s="16" t="s">
        <v>120</v>
      </c>
      <c r="C3" s="16"/>
      <c r="D3" s="16"/>
      <c r="E3" s="16"/>
      <c r="F3" s="16"/>
      <c r="G3" s="16"/>
      <c r="H3" s="16"/>
      <c r="I3" s="16"/>
      <c r="J3" s="16"/>
    </row>
    <row r="5" customFormat="false" ht="19.5" hidden="false" customHeight="true" outlineLevel="0" collapsed="false">
      <c r="B5" s="10"/>
      <c r="C5" s="10"/>
      <c r="D5" s="10"/>
      <c r="E5" s="10"/>
      <c r="F5" s="10"/>
      <c r="G5" s="10"/>
      <c r="H5" s="10"/>
      <c r="I5" s="10"/>
      <c r="J5" s="10"/>
    </row>
    <row r="6" customFormat="false" ht="36" hidden="false" customHeight="true" outlineLevel="0" collapsed="false">
      <c r="B6" s="10" t="s">
        <v>85</v>
      </c>
      <c r="C6" s="10" t="s">
        <v>121</v>
      </c>
      <c r="D6" s="10" t="s">
        <v>122</v>
      </c>
      <c r="E6" s="10" t="s">
        <v>123</v>
      </c>
      <c r="F6" s="10" t="s">
        <v>124</v>
      </c>
      <c r="G6" s="10" t="s">
        <v>125</v>
      </c>
      <c r="H6" s="10" t="s">
        <v>126</v>
      </c>
      <c r="I6" s="10" t="s">
        <v>127</v>
      </c>
      <c r="J6" s="10" t="s">
        <v>128</v>
      </c>
      <c r="K6" s="10" t="s">
        <v>129</v>
      </c>
    </row>
    <row r="7" customFormat="false" ht="21.75" hidden="false" customHeight="true" outlineLevel="0" collapsed="false">
      <c r="B7" s="17" t="s">
        <v>94</v>
      </c>
      <c r="C7" s="29" t="n">
        <v>30000</v>
      </c>
      <c r="D7" s="29" t="n">
        <v>0</v>
      </c>
      <c r="E7" s="29" t="n">
        <v>8000</v>
      </c>
      <c r="F7" s="29" t="n">
        <v>30000</v>
      </c>
      <c r="G7" s="30" t="n">
        <v>0.35</v>
      </c>
      <c r="H7" s="31" t="n">
        <v>10500</v>
      </c>
      <c r="I7" s="31" t="n">
        <v>19500</v>
      </c>
      <c r="J7" s="32" t="s">
        <v>100</v>
      </c>
      <c r="K7" s="33" t="n">
        <v>8000</v>
      </c>
    </row>
    <row r="8" customFormat="false" ht="21.75" hidden="false" customHeight="true" outlineLevel="0" collapsed="false">
      <c r="B8" s="23" t="s">
        <v>101</v>
      </c>
      <c r="C8" s="29" t="n">
        <v>32000</v>
      </c>
      <c r="D8" s="29" t="n">
        <v>18000</v>
      </c>
      <c r="E8" s="29" t="n">
        <v>0</v>
      </c>
      <c r="F8" s="29" t="n">
        <v>50000</v>
      </c>
      <c r="G8" s="30" t="n">
        <v>0.35</v>
      </c>
      <c r="H8" s="31" t="n">
        <v>11200</v>
      </c>
      <c r="I8" s="31" t="n">
        <v>20800</v>
      </c>
      <c r="J8" s="25" t="s">
        <v>130</v>
      </c>
      <c r="K8" s="34" t="n">
        <v>29000</v>
      </c>
    </row>
    <row r="9" customFormat="false" ht="21.75" hidden="false" customHeight="true" outlineLevel="0" collapsed="false">
      <c r="B9" s="17" t="s">
        <v>107</v>
      </c>
      <c r="C9" s="29" t="n">
        <v>48000</v>
      </c>
      <c r="D9" s="29" t="n">
        <v>8000</v>
      </c>
      <c r="E9" s="29" t="n">
        <v>18000</v>
      </c>
      <c r="F9" s="29" t="n">
        <v>56000</v>
      </c>
      <c r="G9" s="30" t="n">
        <v>0.35</v>
      </c>
      <c r="H9" s="31" t="n">
        <v>16800</v>
      </c>
      <c r="I9" s="31" t="n">
        <v>31200</v>
      </c>
      <c r="J9" s="32" t="s">
        <v>100</v>
      </c>
      <c r="K9" s="34" t="n">
        <v>18000</v>
      </c>
    </row>
    <row r="10" customFormat="false" ht="21.75" hidden="false" customHeight="true" outlineLevel="0" collapsed="false">
      <c r="B10" s="26" t="s">
        <v>113</v>
      </c>
      <c r="C10" s="29" t="n">
        <v>28000</v>
      </c>
      <c r="D10" s="29" t="n">
        <v>0</v>
      </c>
      <c r="E10" s="29" t="n">
        <v>0</v>
      </c>
      <c r="F10" s="29" t="n">
        <v>28000</v>
      </c>
      <c r="G10" s="30" t="n">
        <v>0.7</v>
      </c>
      <c r="H10" s="31" t="n">
        <v>19600</v>
      </c>
      <c r="I10" s="31" t="n">
        <v>8400</v>
      </c>
      <c r="J10" s="35" t="s">
        <v>131</v>
      </c>
      <c r="K10" s="33" t="n">
        <v>7000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8" min="4" style="0" width="14"/>
    <col collapsed="false" customWidth="true" hidden="false" outlineLevel="0" max="9" min="9" style="0" width="2"/>
  </cols>
  <sheetData>
    <row r="2" customFormat="false" ht="27.75" hidden="false" customHeight="true" outlineLevel="0" collapsed="false">
      <c r="B2" s="9" t="s">
        <v>132</v>
      </c>
      <c r="C2" s="9"/>
      <c r="D2" s="9"/>
      <c r="E2" s="9"/>
      <c r="F2" s="9"/>
      <c r="G2" s="9"/>
      <c r="H2" s="9"/>
      <c r="I2" s="9"/>
    </row>
    <row r="3" customFormat="false" ht="15.75" hidden="false" customHeight="true" outlineLevel="0" collapsed="false">
      <c r="B3" s="16" t="s">
        <v>133</v>
      </c>
      <c r="C3" s="16"/>
      <c r="D3" s="16"/>
      <c r="E3" s="16"/>
      <c r="F3" s="16"/>
      <c r="G3" s="16"/>
      <c r="H3" s="16"/>
      <c r="I3" s="16"/>
    </row>
    <row r="5" customFormat="false" ht="19.5" hidden="false" customHeight="true" outlineLevel="0" collapsed="false">
      <c r="B5" s="10"/>
      <c r="C5" s="10"/>
      <c r="D5" s="10"/>
      <c r="E5" s="10"/>
      <c r="F5" s="10"/>
      <c r="G5" s="10"/>
      <c r="H5" s="10"/>
      <c r="I5" s="10"/>
    </row>
    <row r="6" customFormat="false" ht="36" hidden="false" customHeight="true" outlineLevel="0" collapsed="false">
      <c r="B6" s="10" t="s">
        <v>85</v>
      </c>
      <c r="C6" s="10" t="s">
        <v>134</v>
      </c>
      <c r="D6" s="10" t="s">
        <v>128</v>
      </c>
      <c r="E6" s="10" t="s">
        <v>135</v>
      </c>
      <c r="F6" s="10" t="s">
        <v>136</v>
      </c>
      <c r="G6" s="10" t="s">
        <v>137</v>
      </c>
      <c r="H6" s="10" t="s">
        <v>138</v>
      </c>
      <c r="I6" s="10" t="s">
        <v>139</v>
      </c>
    </row>
    <row r="7" customFormat="false" ht="21.75" hidden="false" customHeight="true" outlineLevel="0" collapsed="false">
      <c r="B7" s="17" t="s">
        <v>94</v>
      </c>
      <c r="C7" s="31" t="n">
        <v>1350</v>
      </c>
      <c r="D7" s="11" t="s">
        <v>100</v>
      </c>
      <c r="E7" s="31" t="n">
        <v>435</v>
      </c>
      <c r="F7" s="33" t="n">
        <v>915</v>
      </c>
      <c r="G7" s="31" t="n">
        <v>8000</v>
      </c>
      <c r="H7" s="36" t="n">
        <v>8.7</v>
      </c>
      <c r="I7" s="22" t="s">
        <v>140</v>
      </c>
    </row>
    <row r="8" customFormat="false" ht="21.75" hidden="false" customHeight="true" outlineLevel="0" collapsed="false">
      <c r="B8" s="23" t="s">
        <v>101</v>
      </c>
      <c r="C8" s="31" t="n">
        <v>1700</v>
      </c>
      <c r="D8" s="11" t="s">
        <v>141</v>
      </c>
      <c r="E8" s="31" t="n">
        <v>2200</v>
      </c>
      <c r="F8" s="37" t="n">
        <v>-500</v>
      </c>
      <c r="G8" s="31" t="n">
        <v>29000</v>
      </c>
      <c r="H8" s="38" t="n">
        <v>99</v>
      </c>
      <c r="I8" s="25" t="s">
        <v>142</v>
      </c>
    </row>
    <row r="9" customFormat="false" ht="21.75" hidden="false" customHeight="true" outlineLevel="0" collapsed="false">
      <c r="B9" s="17" t="s">
        <v>107</v>
      </c>
      <c r="C9" s="31" t="n">
        <v>5100</v>
      </c>
      <c r="D9" s="11" t="s">
        <v>100</v>
      </c>
      <c r="E9" s="31" t="n">
        <v>2200</v>
      </c>
      <c r="F9" s="33" t="n">
        <v>2900</v>
      </c>
      <c r="G9" s="31" t="n">
        <v>18000</v>
      </c>
      <c r="H9" s="36" t="n">
        <v>6.2</v>
      </c>
      <c r="I9" s="22" t="s">
        <v>143</v>
      </c>
    </row>
    <row r="10" customFormat="false" ht="21.75" hidden="false" customHeight="true" outlineLevel="0" collapsed="false">
      <c r="B10" s="26" t="s">
        <v>113</v>
      </c>
      <c r="C10" s="31" t="n">
        <v>1350</v>
      </c>
      <c r="D10" s="11" t="s">
        <v>144</v>
      </c>
      <c r="E10" s="31" t="n">
        <v>1125</v>
      </c>
      <c r="F10" s="33" t="n">
        <v>225</v>
      </c>
      <c r="G10" s="31" t="n">
        <v>7000</v>
      </c>
      <c r="H10" s="38" t="n">
        <v>31.1</v>
      </c>
      <c r="I10" s="39" t="s">
        <v>145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2"/>
  </cols>
  <sheetData>
    <row r="2" customFormat="false" ht="36" hidden="false" customHeight="true" outlineLevel="0" collapsed="false">
      <c r="B2" s="40" t="s">
        <v>146</v>
      </c>
      <c r="C2" s="40"/>
      <c r="D2" s="40"/>
      <c r="E2" s="40"/>
    </row>
    <row r="3" customFormat="false" ht="15.75" hidden="false" customHeight="true" outlineLevel="0" collapsed="false">
      <c r="B3" s="41" t="s">
        <v>147</v>
      </c>
      <c r="C3" s="41"/>
      <c r="D3" s="41"/>
      <c r="E3" s="41"/>
    </row>
    <row r="5" customFormat="false" ht="13.5" hidden="false" customHeight="true" outlineLevel="0" collapsed="false">
      <c r="B5" s="10" t="s">
        <v>148</v>
      </c>
      <c r="C5" s="10"/>
      <c r="D5" s="10"/>
      <c r="E5" s="10"/>
    </row>
    <row r="6" customFormat="false" ht="13.5" hidden="false" customHeight="true" outlineLevel="0" collapsed="false"/>
    <row r="7" customFormat="false" ht="27.75" hidden="false" customHeight="true" outlineLevel="0" collapsed="false">
      <c r="B7" s="42" t="s">
        <v>6</v>
      </c>
      <c r="C7" s="42" t="s">
        <v>149</v>
      </c>
      <c r="D7" s="43" t="s">
        <v>150</v>
      </c>
      <c r="E7" s="44" t="s">
        <v>151</v>
      </c>
    </row>
    <row r="8" customFormat="false" ht="15.75" hidden="false" customHeight="true" outlineLevel="0" collapsed="false">
      <c r="B8" s="45" t="s">
        <v>152</v>
      </c>
      <c r="C8" s="45" t="s">
        <v>46</v>
      </c>
      <c r="D8" s="46" t="s">
        <v>153</v>
      </c>
      <c r="E8" s="47" t="s">
        <v>154</v>
      </c>
    </row>
    <row r="9" customFormat="false" ht="13.5" hidden="false" customHeight="true" outlineLevel="0" collapsed="false">
      <c r="B9" s="42" t="s">
        <v>155</v>
      </c>
      <c r="C9" s="42" t="s">
        <v>156</v>
      </c>
      <c r="D9" s="43" t="s">
        <v>157</v>
      </c>
      <c r="E9" s="44" t="s">
        <v>158</v>
      </c>
    </row>
    <row r="11" customFormat="false" ht="13.5" hidden="false" customHeight="true" outlineLevel="0" collapsed="false">
      <c r="B11" s="10" t="s">
        <v>159</v>
      </c>
      <c r="C11" s="10"/>
      <c r="D11" s="10"/>
      <c r="E11" s="10"/>
    </row>
    <row r="12" customFormat="false" ht="27.75" hidden="false" customHeight="true" outlineLevel="0" collapsed="false">
      <c r="B12" s="48" t="s">
        <v>85</v>
      </c>
      <c r="C12" s="48" t="s">
        <v>160</v>
      </c>
      <c r="D12" s="48" t="s">
        <v>161</v>
      </c>
      <c r="E12" s="48" t="s">
        <v>162</v>
      </c>
    </row>
    <row r="13" customFormat="false" ht="24" hidden="false" customHeight="true" outlineLevel="0" collapsed="false">
      <c r="B13" s="22" t="s">
        <v>163</v>
      </c>
      <c r="C13" s="22" t="s">
        <v>164</v>
      </c>
      <c r="D13" s="20" t="s">
        <v>165</v>
      </c>
      <c r="E13" s="49" t="s">
        <v>166</v>
      </c>
    </row>
    <row r="14" customFormat="false" ht="24" hidden="false" customHeight="true" outlineLevel="0" collapsed="false">
      <c r="B14" s="50" t="s">
        <v>167</v>
      </c>
      <c r="C14" s="25" t="s">
        <v>168</v>
      </c>
      <c r="D14" s="20" t="s">
        <v>169</v>
      </c>
      <c r="E14" s="51" t="s">
        <v>170</v>
      </c>
    </row>
    <row r="15" customFormat="false" ht="24" hidden="false" customHeight="true" outlineLevel="0" collapsed="false">
      <c r="B15" s="22" t="s">
        <v>171</v>
      </c>
      <c r="C15" s="22" t="s">
        <v>164</v>
      </c>
      <c r="D15" s="20" t="s">
        <v>172</v>
      </c>
      <c r="E15" s="49" t="s">
        <v>173</v>
      </c>
    </row>
    <row r="16" customFormat="false" ht="24" hidden="false" customHeight="true" outlineLevel="0" collapsed="false">
      <c r="B16" s="52" t="s">
        <v>174</v>
      </c>
      <c r="C16" s="28" t="s">
        <v>175</v>
      </c>
      <c r="D16" s="20" t="s">
        <v>176</v>
      </c>
      <c r="E16" s="53" t="s">
        <v>177</v>
      </c>
    </row>
    <row r="18" customFormat="false" ht="13.5" hidden="false" customHeight="true" outlineLevel="0" collapsed="false">
      <c r="B18" s="10" t="s">
        <v>178</v>
      </c>
      <c r="C18" s="10"/>
      <c r="D18" s="10"/>
      <c r="E18" s="10"/>
    </row>
    <row r="19" customFormat="false" ht="27.75" hidden="false" customHeight="true" outlineLevel="0" collapsed="false">
      <c r="B19" s="54" t="s">
        <v>179</v>
      </c>
      <c r="C19" s="55" t="s">
        <v>180</v>
      </c>
      <c r="D19" s="55"/>
      <c r="E19" s="55"/>
    </row>
    <row r="20" customFormat="false" ht="27.75" hidden="false" customHeight="true" outlineLevel="0" collapsed="false">
      <c r="B20" s="54" t="s">
        <v>181</v>
      </c>
      <c r="C20" s="55" t="s">
        <v>182</v>
      </c>
      <c r="D20" s="55"/>
      <c r="E20" s="55"/>
    </row>
    <row r="21" customFormat="false" ht="27.75" hidden="false" customHeight="true" outlineLevel="0" collapsed="false">
      <c r="B21" s="54" t="s">
        <v>183</v>
      </c>
      <c r="C21" s="55" t="s">
        <v>184</v>
      </c>
      <c r="D21" s="55"/>
      <c r="E21" s="55"/>
    </row>
  </sheetData>
  <mergeCells count="5">
    <mergeCell ref="B2:E2"/>
    <mergeCell ref="B3:E3"/>
    <mergeCell ref="C19:E19"/>
    <mergeCell ref="C20:E20"/>
    <mergeCell ref="C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2026-04-24T19:37:57Z</dcterms:created>
  <dc:creator>openpyxl</dc:creator>
  <dc:description/>
  <dc:language>en-US</dc:language>
  <cp:lastModifiedBy/>
  <dcterms:modified xsi:type="dcterms:W3CDTF">2026-04-24T19:38:02Z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