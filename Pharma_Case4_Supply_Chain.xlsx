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Data_Assumptions" sheetId="2" state="visible" r:id="rId4"/>
    <sheet name="Analysis_1_Forecast" sheetId="3" state="visible" r:id="rId5"/>
    <sheet name="Analysis_2_Inventory" sheetId="4" state="visible" r:id="rId6"/>
    <sheet name="Dashboar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<sst xmlns="http://schemas.openxmlformats.org/spreadsheetml/2006/main" count="197" uniqueCount="171">
  <si>
    <t xml:space="preserve">Fixing the Supply Chain Before the Product Runs Out</t>
  </si>
  <si>
    <t xml:space="preserve">Stockout Root Cause Analysis — Generic Cardiovascular Drug, 4 European Markets</t>
  </si>
  <si>
    <t xml:space="preserve">Sector: Pharma &amp; Life Sciences · Supply Chain   |   Case: Pharma Case 04 of 04   |   Business Analyst Portfolio</t>
  </si>
  <si>
    <t xml:space="preserve">Sheet</t>
  </si>
  <si>
    <t xml:space="preserve">Contents</t>
  </si>
  <si>
    <t xml:space="preserve">Cover</t>
  </si>
  <si>
    <t xml:space="preserve">Case overview, key outputs</t>
  </si>
  <si>
    <t xml:space="preserve">Data_Assumptions</t>
  </si>
  <si>
    <t xml:space="preserve">Stockout log, market parameters, lead time data, benchmark references</t>
  </si>
  <si>
    <t xml:space="preserve">Analysis_1_Forecast</t>
  </si>
  <si>
    <t xml:space="preserve">Demand decomposition — actual vs forecast by market; MAPE calculation</t>
  </si>
  <si>
    <t xml:space="preserve">Analysis_2_Inventory</t>
  </si>
  <si>
    <t xml:space="preserve">Safety stock model; lead time distribution; scenario comparison</t>
  </si>
  <si>
    <t xml:space="preserve">Dashboard</t>
  </si>
  <si>
    <t xml:space="preserve">KPI summary, root cause ranking, cost-benefit of remediation</t>
  </si>
  <si>
    <t xml:space="preserve">KEY OUTPUTS</t>
  </si>
  <si>
    <t xml:space="preserve">Stockout events (18 months)</t>
  </si>
  <si>
    <t xml:space="preserve">7 across 4 markets</t>
  </si>
  <si>
    <t xml:space="preserve">Estimated revenue loss</t>
  </si>
  <si>
    <t xml:space="preserve">€4.2M</t>
  </si>
  <si>
    <t xml:space="preserve">Forecast MAPE (current)</t>
  </si>
  <si>
    <t xml:space="preserve">31%</t>
  </si>
  <si>
    <t xml:space="preserve">Target MAPE</t>
  </si>
  <si>
    <t xml:space="preserve">10–15%</t>
  </si>
  <si>
    <t xml:space="preserve">Current safety stock policy</t>
  </si>
  <si>
    <t xml:space="preserve">4 weeks (flat, all markets)</t>
  </si>
  <si>
    <t xml:space="preserve">Required — Germany (statistical model)</t>
  </si>
  <si>
    <t xml:space="preserve">8.4 weeks</t>
  </si>
  <si>
    <t xml:space="preserve">Projected stockouts — combined model</t>
  </si>
  <si>
    <t xml:space="preserve">0.8/year</t>
  </si>
  <si>
    <t xml:space="preserve">Additional working capital cost</t>
  </si>
  <si>
    <t xml:space="preserve">€0.9M/year</t>
  </si>
  <si>
    <t xml:space="preserve">Revenue protected annually</t>
  </si>
  <si>
    <t xml:space="preserve">~€3.4M</t>
  </si>
  <si>
    <t xml:space="preserve">Sources: EMA SPOC Shortage Database; IQVIA MIDAS; PGEU/EAEPC; Silver, Pyke &amp; Thomas (2017)</t>
  </si>
  <si>
    <t xml:space="preserve">Data &amp; Assumptions</t>
  </si>
  <si>
    <t xml:space="preserve">Stockout event log, market parameters, lead time observations, safety stock assumptions</t>
  </si>
  <si>
    <t xml:space="preserve">Sector: Pharma &amp; Life Sciences   |   Case: Pharma Case 04 — Supply Chain   |   Business Analyst Portfolio</t>
  </si>
  <si>
    <t xml:space="preserve">STOCKOUT EVENT LOG — 18 MONTHS (Jan 2022 – Jun 2023)</t>
  </si>
  <si>
    <t xml:space="preserve">Market</t>
  </si>
  <si>
    <t xml:space="preserve">Stockout Events</t>
  </si>
  <si>
    <t xml:space="preserve">Avg Duration (days)</t>
  </si>
  <si>
    <t xml:space="preserve">Est. Revenue Loss (€)</t>
  </si>
  <si>
    <t xml:space="preserve">Substitution Risk</t>
  </si>
  <si>
    <t xml:space="preserve">Primary Driver</t>
  </si>
  <si>
    <t xml:space="preserve">Germany</t>
  </si>
  <si>
    <t xml:space="preserve">HIGH</t>
  </si>
  <si>
    <t xml:space="preserve">Q1 demand spike + PM lag in forecast</t>
  </si>
  <si>
    <t xml:space="preserve">France</t>
  </si>
  <si>
    <t xml:space="preserve">MEDIUM</t>
  </si>
  <si>
    <t xml:space="preserve">Forecast error — no seasonality</t>
  </si>
  <si>
    <t xml:space="preserve">Netherlands</t>
  </si>
  <si>
    <t xml:space="preserve">Lead time overrun</t>
  </si>
  <si>
    <t xml:space="preserve">Poland</t>
  </si>
  <si>
    <t xml:space="preserve">Lead time + demand variability</t>
  </si>
  <si>
    <t xml:space="preserve">Total</t>
  </si>
  <si>
    <t xml:space="preserve">MARKET SUPPLY PARAMETERS</t>
  </si>
  <si>
    <t xml:space="preserve">Current Safety Stock (wks)</t>
  </si>
  <si>
    <t xml:space="preserve">Required (Statistical, wks)</t>
  </si>
  <si>
    <t xml:space="preserve">Avg Demand/Wk (units)</t>
  </si>
  <si>
    <t xml:space="preserve">Demand Std Dev (wks)</t>
  </si>
  <si>
    <t xml:space="preserve">Avg Lead Time (actual, wks)</t>
  </si>
  <si>
    <t xml:space="preserve">LEAD TIME PARAMETERS</t>
  </si>
  <si>
    <t xml:space="preserve">Parameter</t>
  </si>
  <si>
    <t xml:space="preserve">Value</t>
  </si>
  <si>
    <t xml:space="preserve">Note</t>
  </si>
  <si>
    <t xml:space="preserve">Contractual lead time (used in planning)</t>
  </si>
  <si>
    <t xml:space="preserve">8 weeks</t>
  </si>
  <si>
    <t xml:space="preserve">SOP / supplier contract</t>
  </si>
  <si>
    <t xml:space="preserve">Actual average lead time (24-month obs.)</t>
  </si>
  <si>
    <t xml:space="preserve">11.2 weeks</t>
  </si>
  <si>
    <t xml:space="preserve">Internal procurement records</t>
  </si>
  <si>
    <t xml:space="preserve">Lead time std deviation</t>
  </si>
  <si>
    <t xml:space="preserve">2.8 weeks</t>
  </si>
  <si>
    <t xml:space="preserve">Calculated from 24-month obs.</t>
  </si>
  <si>
    <t xml:space="preserve">P80 actual lead time (recommended for planning)</t>
  </si>
  <si>
    <t xml:space="preserve">14 weeks</t>
  </si>
  <si>
    <t xml:space="preserve">Derived from observed distribution</t>
  </si>
  <si>
    <t xml:space="preserve">On-time delivery rate (to contract)</t>
  </si>
  <si>
    <t xml:space="preserve">12%</t>
  </si>
  <si>
    <t xml:space="preserve">Service level target</t>
  </si>
  <si>
    <t xml:space="preserve">95%</t>
  </si>
  <si>
    <t xml:space="preserve">Industry standard for essential medicines</t>
  </si>
  <si>
    <t xml:space="preserve">Analysis 1 — Demand Forecast vs Actual</t>
  </si>
  <si>
    <t xml:space="preserve">Actual demand indexed to market average; forecast error (MAPE) by market</t>
  </si>
  <si>
    <t xml:space="preserve">Sector: Pharma &amp; Life Sciences   |   Case: Pharma Case 04 — Step 1   |   Business Analyst Portfolio</t>
  </si>
  <si>
    <t xml:space="preserve">MONTHLY DEMAND INDEX — ACTUAL vs FORECAST (avg = 100)</t>
  </si>
  <si>
    <t xml:space="preserve">Month</t>
  </si>
  <si>
    <t xml:space="preserve">Forecast (all)</t>
  </si>
  <si>
    <t xml:space="preserve">DE Forecast Error</t>
  </si>
  <si>
    <t xml:space="preserve">Jan-22</t>
  </si>
  <si>
    <t xml:space="preserve">Feb-22</t>
  </si>
  <si>
    <t xml:space="preserve">Mar-22</t>
  </si>
  <si>
    <t xml:space="preserve">Apr-22</t>
  </si>
  <si>
    <t xml:space="preserve">May-22</t>
  </si>
  <si>
    <t xml:space="preserve">Jun-22</t>
  </si>
  <si>
    <t xml:space="preserve">Jul-22</t>
  </si>
  <si>
    <t xml:space="preserve">Aug-22</t>
  </si>
  <si>
    <t xml:space="preserve">Sep-22</t>
  </si>
  <si>
    <t xml:space="preserve">Oct-22</t>
  </si>
  <si>
    <t xml:space="preserve">Nov-22</t>
  </si>
  <si>
    <t xml:space="preserve">Dec-22</t>
  </si>
  <si>
    <t xml:space="preserve">Jan-23</t>
  </si>
  <si>
    <t xml:space="preserve">Feb-23</t>
  </si>
  <si>
    <t xml:space="preserve">Mar-23</t>
  </si>
  <si>
    <t xml:space="preserve">Apr-23</t>
  </si>
  <si>
    <t xml:space="preserve">May-23</t>
  </si>
  <si>
    <t xml:space="preserve">Jun-23</t>
  </si>
  <si>
    <t xml:space="preserve">MAPE (Germany)</t>
  </si>
  <si>
    <t xml:space="preserve">Analysis 2 — Safety Stock Model &amp; Scenario Comparison</t>
  </si>
  <si>
    <t xml:space="preserve">Statistical safety stock calculation; lead time distribution; stockout reduction model</t>
  </si>
  <si>
    <t xml:space="preserve">Sector: Pharma &amp; Life Sciences   |   Case: Pharma Case 04 — Steps 2, 3 &amp; 4   |   Business Analyst Portfolio</t>
  </si>
  <si>
    <t xml:space="preserve">SAFETY STOCK CALCULATION — 95% SERVICE LEVEL (Z = 1.645)</t>
  </si>
  <si>
    <t xml:space="preserve">Lead Time (planning, wks)</t>
  </si>
  <si>
    <t xml:space="preserve">Safety Stock Formula</t>
  </si>
  <si>
    <t xml:space="preserve">Required (weeks)</t>
  </si>
  <si>
    <t xml:space="preserve">Current Policy (wks)</t>
  </si>
  <si>
    <t xml:space="preserve">Z×√(LT×σd² + d²×σLT²) / avg_d</t>
  </si>
  <si>
    <t xml:space="preserve">STOCKOUT REDUCTION MODEL — SCENARIO COMPARISON (ANNUALISED)</t>
  </si>
  <si>
    <t xml:space="preserve">Planning Model</t>
  </si>
  <si>
    <t xml:space="preserve">Projected Stockouts/yr</t>
  </si>
  <si>
    <t xml:space="preserve">vs Current</t>
  </si>
  <si>
    <t xml:space="preserve">Additional Inv. Cost (€)</t>
  </si>
  <si>
    <t xml:space="preserve">Revenue Protected (€)</t>
  </si>
  <si>
    <t xml:space="preserve">Net Benefit (€)</t>
  </si>
  <si>
    <t xml:space="preserve">Current Model</t>
  </si>
  <si>
    <t xml:space="preserve">—</t>
  </si>
  <si>
    <t xml:space="preserve">Country Forecast Only</t>
  </si>
  <si>
    <t xml:space="preserve">Forecast + Safety Stock</t>
  </si>
  <si>
    <t xml:space="preserve">Full Combined Model</t>
  </si>
  <si>
    <t xml:space="preserve">Dashboard — Supply Chain Stockout Analysis</t>
  </si>
  <si>
    <t xml:space="preserve">Executive summary: root causes, safety stock gaps, remediation cost-benefit</t>
  </si>
  <si>
    <t xml:space="preserve">Sector: Supply Chain · 4 European Markets   |   Case: Pharma Case 04 · Pharma &amp; Life Sciences   |   Business Analyst Portfolio</t>
  </si>
  <si>
    <t xml:space="preserve">KEY METRICS</t>
  </si>
  <si>
    <t xml:space="preserve">Stockout Events (18 months)</t>
  </si>
  <si>
    <t xml:space="preserve">Estimated Revenue Loss</t>
  </si>
  <si>
    <t xml:space="preserve">31% vs 10–15% target</t>
  </si>
  <si>
    <t xml:space="preserve">Germany Safety Stock Gap</t>
  </si>
  <si>
    <t xml:space="preserve">4 weeks actual vs 8.4 wks required</t>
  </si>
  <si>
    <t xml:space="preserve">Lead Time Planning Error</t>
  </si>
  <si>
    <t xml:space="preserve">8 wks planned vs 11.2 wks actual</t>
  </si>
  <si>
    <t xml:space="preserve">Projected Stockouts — Combined Model</t>
  </si>
  <si>
    <t xml:space="preserve">0.8/yr (from 4.7/yr)</t>
  </si>
  <si>
    <t xml:space="preserve">ROOT CAUSE RANKING</t>
  </si>
  <si>
    <t xml:space="preserve">Root Cause</t>
  </si>
  <si>
    <t xml:space="preserve">Impact</t>
  </si>
  <si>
    <t xml:space="preserve">Fix</t>
  </si>
  <si>
    <t xml:space="preserve">Timeline</t>
  </si>
  <si>
    <t xml:space="preserve">Demand forecast — no country seasonality</t>
  </si>
  <si>
    <t xml:space="preserve">MAPE 31%; all Q1 DE stockouts</t>
  </si>
  <si>
    <t xml:space="preserve">Country-level seasonal model</t>
  </si>
  <si>
    <t xml:space="preserve">Short Term</t>
  </si>
  <si>
    <t xml:space="preserve">Planning lead time — contract not actual</t>
  </si>
  <si>
    <t xml:space="preserve">Structural inventory shortfall</t>
  </si>
  <si>
    <t xml:space="preserve">Update to P80 = 14 weeks</t>
  </si>
  <si>
    <t xml:space="preserve">Immediate</t>
  </si>
  <si>
    <t xml:space="preserve">Safety stock — flat 4-week policy</t>
  </si>
  <si>
    <t xml:space="preserve">DE and PL under-protected</t>
  </si>
  <si>
    <t xml:space="preserve">Statistical model by market</t>
  </si>
  <si>
    <t xml:space="preserve">No early warning monitoring</t>
  </si>
  <si>
    <t xml:space="preserve">Stockouts identified reactively</t>
  </si>
  <si>
    <t xml:space="preserve">Inventory alert dashboard</t>
  </si>
  <si>
    <t xml:space="preserve">Medium Term</t>
  </si>
  <si>
    <t xml:space="preserve">COST-BENEFIT — FULL COMBINED MODEL</t>
  </si>
  <si>
    <t xml:space="preserve">Additional Working Capital (annual)</t>
  </si>
  <si>
    <t xml:space="preserve">€0.9M</t>
  </si>
  <si>
    <t xml:space="preserve">Revenue Protected (annual)</t>
  </si>
  <si>
    <t xml:space="preserve">Net Annual Benefit</t>
  </si>
  <si>
    <t xml:space="preserve">~€2.5M</t>
  </si>
  <si>
    <t xml:space="preserve">Break-even Timeline</t>
  </si>
  <si>
    <t xml:space="preserve">&lt; 4 months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</si>
</sst>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€#,##0"/>
    <numFmt numFmtId="166" formatCode="General"/>
    <numFmt numFmtId="167" formatCode="0.0%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C3F6E"/>
      <name val="Arial"/>
      <family val="0"/>
      <charset val="1"/>
    </font>
    <font>
      <i val="true"/>
      <sz val="11"/>
      <color rgb="FF6B6860"/>
      <name val="Arial"/>
      <family val="0"/>
      <charset val="1"/>
    </font>
    <font>
      <sz val="9"/>
      <color rgb="FF6B686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C3F6E"/>
      <name val="Arial"/>
      <family val="0"/>
      <charset val="1"/>
    </font>
    <font>
      <sz val="10"/>
      <color rgb="FF6B6860"/>
      <name val="Arial"/>
      <family val="0"/>
      <charset val="1"/>
    </font>
    <font>
      <b val="true"/>
      <sz val="9"/>
      <color rgb="FF1C3F6E"/>
      <name val="Arial"/>
      <family val="0"/>
      <charset val="1"/>
    </font>
    <font>
      <i val="true"/>
      <sz val="8"/>
      <color rgb="FF6B686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81818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sz val="10"/>
      <color rgb="FF181818"/>
      <name val="Arial"/>
      <family val="0"/>
      <charset val="1"/>
    </font>
    <font>
      <i val="true"/>
      <sz val="9"/>
      <color rgb="FF6B6860"/>
      <name val="Arial"/>
      <family val="0"/>
      <charset val="1"/>
    </font>
    <font>
      <b val="true"/>
      <sz val="10"/>
      <color rgb="FFC07A1A"/>
      <name val="Arial"/>
      <family val="0"/>
      <charset val="1"/>
    </font>
    <font>
      <b val="true"/>
      <sz val="9"/>
      <color rgb="FF181818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C0392B"/>
      <name val="Arial"/>
      <family val="0"/>
      <charset val="1"/>
    </font>
    <font>
      <sz val="9"/>
      <color rgb="FF181818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9"/>
      <color rgb="FF2E7D55"/>
      <name val="Arial"/>
      <family val="0"/>
      <charset val="1"/>
    </font>
    <font>
      <sz val="9"/>
      <color rgb="FFC0392B"/>
      <name val="Arial"/>
      <family val="0"/>
      <charset val="1"/>
    </font>
    <font>
      <sz val="9"/>
      <color rgb="FF1C3F6E"/>
      <name val="Arial"/>
      <family val="0"/>
      <charset val="1"/>
    </font>
    <font>
      <sz val="9"/>
      <color rgb="FFC07A1A"/>
      <name val="Arial"/>
      <family val="0"/>
      <charset val="1"/>
    </font>
    <font>
      <sz val="10"/>
      <color rgb="FF2E7D55"/>
      <name val="Arial"/>
      <family val="0"/>
      <charset val="1"/>
    </font>
    <font>
      <sz val="10"/>
      <color rgb="FF1C3F6E"/>
      <name val="Arial"/>
      <family val="0"/>
      <charset val="1"/>
    </font>
    <font>
      <b val="true"/>
      <sz val="10"/>
      <color rgb="FF2E7D55"/>
      <name val="Arial"/>
      <family val="0"/>
      <charset val="1"/>
    </font>
    <font>
      <b val="true"/>
      <sz val="11"/>
      <color rgb="FFC07A1A"/>
      <name val="Arial"/>
      <family val="0"/>
      <charset val="1"/>
    </font>
    <font>
      <b val="true"/>
      <sz val="11"/>
      <color rgb="FF2E7D55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C3F6E"/>
        <bgColor rgb="FF333399"/>
      </patternFill>
    </fill>
    <fill>
      <patternFill patternType="solid">
        <fgColor rgb="FFEBF0F8"/>
        <bgColor rgb="FFF5F4F0"/>
      </patternFill>
    </fill>
    <fill>
      <patternFill patternType="solid">
        <fgColor rgb="FFF5F4F0"/>
        <bgColor rgb="FFEBF0F8"/>
      </patternFill>
    </fill>
    <fill>
      <patternFill patternType="solid">
        <fgColor rgb="FFFFFFFF"/>
        <bgColor rgb="FFF5F4F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0CEC6"/>
      </left>
      <right style="thin">
        <color rgb="FFD0CEC6"/>
      </right>
      <top style="thin">
        <color rgb="FFD0CEC6"/>
      </top>
      <bottom style="thin">
        <color rgb="FFD0CEC6"/>
      </bottom>
      <diagonal/>
    </border>
    <border diagonalUp="false" diagonalDown="false">
      <left/>
      <right/>
      <top/>
      <bottom style="thin">
        <color rgb="FFD0CEC6"/>
      </bottom>
      <diagonal/>
    </border>
    <border diagonalUp="false" diagonalDown="false">
      <left/>
      <right/>
      <top style="thin">
        <color rgb="FFD0CEC6"/>
      </top>
      <bottom style="thin">
        <color rgb="FFD0CE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4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5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4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6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7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7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7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7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9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C07A1A"/>
      <rgbColor rgb="FF800080"/>
      <rgbColor rgb="FF008080"/>
      <rgbColor rgb="FFD0CEC6"/>
      <rgbColor rgb="FF808080"/>
      <rgbColor rgb="FF9999FF"/>
      <rgbColor rgb="FF993366"/>
      <rgbColor rgb="FFF5F4F0"/>
      <rgbColor rgb="FFEBF0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860"/>
      <rgbColor rgb="FF969696"/>
      <rgbColor rgb="FF1C3F6E"/>
      <rgbColor rgb="FF2E7D55"/>
      <rgbColor rgb="FF181818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2"/>
  </cols>
  <sheetData>
    <row r="1" customFormat="false" ht="36" hidden="false" customHeight="true" outlineLevel="0" collapsed="false">
      <c r="A1" s="1" t="s">
        <v>0</v>
      </c>
    </row>
    <row r="2" customFormat="false" ht="19.5" hidden="false" customHeight="true" outlineLevel="0" collapsed="false">
      <c r="A2" s="2" t="s">
        <v>1</v>
      </c>
    </row>
    <row r="3" customFormat="false" ht="15.75" hidden="false" customHeight="true" outlineLevel="0" collapsed="false">
      <c r="A3" s="3" t="s">
        <v>2</v>
      </c>
    </row>
    <row r="4" customFormat="false" ht="15.75" hidden="false" customHeight="true" outlineLevel="0" collapsed="false"/>
    <row r="6" customFormat="false" ht="15" hidden="false" customHeight="false" outlineLevel="0" collapsed="false">
      <c r="A6" s="4" t="s">
        <v>3</v>
      </c>
      <c r="B6" s="4" t="s">
        <v>4</v>
      </c>
    </row>
    <row r="7" customFormat="false" ht="15" hidden="false" customHeight="false" outlineLevel="0" collapsed="false">
      <c r="A7" s="5" t="s">
        <v>5</v>
      </c>
      <c r="B7" s="6" t="s">
        <v>6</v>
      </c>
    </row>
    <row r="8" customFormat="false" ht="15" hidden="false" customHeight="false" outlineLevel="0" collapsed="false">
      <c r="A8" s="5" t="s">
        <v>7</v>
      </c>
      <c r="B8" s="6" t="s">
        <v>8</v>
      </c>
    </row>
    <row r="9" customFormat="false" ht="15" hidden="false" customHeight="false" outlineLevel="0" collapsed="false">
      <c r="A9" s="5" t="s">
        <v>9</v>
      </c>
      <c r="B9" s="6" t="s">
        <v>10</v>
      </c>
    </row>
    <row r="10" customFormat="false" ht="15" hidden="false" customHeight="false" outlineLevel="0" collapsed="false">
      <c r="A10" s="5" t="s">
        <v>11</v>
      </c>
      <c r="B10" s="6" t="s">
        <v>12</v>
      </c>
    </row>
    <row r="11" customFormat="false" ht="15" hidden="false" customHeight="false" outlineLevel="0" collapsed="false">
      <c r="A11" s="5" t="s">
        <v>13</v>
      </c>
      <c r="B11" s="6" t="s">
        <v>14</v>
      </c>
    </row>
    <row r="13" customFormat="false" ht="15" hidden="false" customHeight="false" outlineLevel="0" collapsed="false">
      <c r="A13" s="7" t="s">
        <v>15</v>
      </c>
    </row>
    <row r="14" customFormat="false" ht="15" hidden="false" customHeight="false" outlineLevel="0" collapsed="false">
      <c r="A14" s="8" t="s">
        <v>16</v>
      </c>
      <c r="B14" s="9" t="s">
        <v>17</v>
      </c>
    </row>
    <row r="15" customFormat="false" ht="15" hidden="false" customHeight="false" outlineLevel="0" collapsed="false">
      <c r="A15" s="8" t="s">
        <v>18</v>
      </c>
      <c r="B15" s="9" t="s">
        <v>19</v>
      </c>
    </row>
    <row r="16" customFormat="false" ht="15" hidden="false" customHeight="false" outlineLevel="0" collapsed="false">
      <c r="A16" s="8" t="s">
        <v>20</v>
      </c>
      <c r="B16" s="9" t="s">
        <v>21</v>
      </c>
    </row>
    <row r="17" customFormat="false" ht="15" hidden="false" customHeight="false" outlineLevel="0" collapsed="false">
      <c r="A17" s="8" t="s">
        <v>22</v>
      </c>
      <c r="B17" s="9" t="s">
        <v>23</v>
      </c>
    </row>
    <row r="18" customFormat="false" ht="15" hidden="false" customHeight="false" outlineLevel="0" collapsed="false">
      <c r="A18" s="8" t="s">
        <v>24</v>
      </c>
      <c r="B18" s="9" t="s">
        <v>25</v>
      </c>
    </row>
    <row r="19" customFormat="false" ht="15" hidden="false" customHeight="false" outlineLevel="0" collapsed="false">
      <c r="A19" s="8" t="s">
        <v>26</v>
      </c>
      <c r="B19" s="9" t="s">
        <v>27</v>
      </c>
    </row>
    <row r="20" customFormat="false" ht="15" hidden="false" customHeight="false" outlineLevel="0" collapsed="false">
      <c r="A20" s="8" t="s">
        <v>28</v>
      </c>
      <c r="B20" s="9" t="s">
        <v>29</v>
      </c>
    </row>
    <row r="21" customFormat="false" ht="15" hidden="false" customHeight="false" outlineLevel="0" collapsed="false">
      <c r="A21" s="8" t="s">
        <v>30</v>
      </c>
      <c r="B21" s="9" t="s">
        <v>31</v>
      </c>
    </row>
    <row r="22" customFormat="false" ht="15" hidden="false" customHeight="false" outlineLevel="0" collapsed="false">
      <c r="A22" s="8" t="s">
        <v>32</v>
      </c>
      <c r="B22" s="9" t="s">
        <v>33</v>
      </c>
    </row>
    <row r="24" customFormat="false" ht="15" hidden="false" customHeight="false" outlineLevel="0" collapsed="false">
      <c r="A24" s="10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5" min="2" style="0" width="14"/>
    <col collapsed="false" customWidth="true" hidden="false" outlineLevel="0" max="6" min="6" style="0" width="22"/>
  </cols>
  <sheetData>
    <row r="1" customFormat="false" ht="36" hidden="false" customHeight="true" outlineLevel="0" collapsed="false">
      <c r="A1" s="1" t="s">
        <v>35</v>
      </c>
    </row>
    <row r="2" customFormat="false" ht="19.5" hidden="false" customHeight="true" outlineLevel="0" collapsed="false">
      <c r="A2" s="2" t="s">
        <v>36</v>
      </c>
    </row>
    <row r="3" customFormat="false" ht="15.75" hidden="false" customHeight="true" outlineLevel="0" collapsed="false">
      <c r="A3" s="3" t="s">
        <v>37</v>
      </c>
    </row>
    <row r="4" customFormat="false" ht="15.75" hidden="false" customHeight="true" outlineLevel="0" collapsed="false"/>
    <row r="6" customFormat="false" ht="15" hidden="false" customHeight="false" outlineLevel="0" collapsed="false">
      <c r="A6" s="7" t="s">
        <v>38</v>
      </c>
    </row>
    <row r="7" customFormat="false" ht="15" hidden="false" customHeight="false" outlineLevel="0" collapsed="false">
      <c r="A7" s="11" t="s">
        <v>39</v>
      </c>
      <c r="B7" s="11" t="s">
        <v>40</v>
      </c>
      <c r="C7" s="11" t="s">
        <v>41</v>
      </c>
      <c r="D7" s="11" t="s">
        <v>42</v>
      </c>
      <c r="E7" s="11" t="s">
        <v>43</v>
      </c>
      <c r="F7" s="11" t="s">
        <v>44</v>
      </c>
    </row>
    <row r="8" customFormat="false" ht="15" hidden="false" customHeight="false" outlineLevel="0" collapsed="false">
      <c r="A8" s="12" t="s">
        <v>45</v>
      </c>
      <c r="B8" s="13" t="n">
        <v>3</v>
      </c>
      <c r="C8" s="14" t="n">
        <v>28</v>
      </c>
      <c r="D8" s="15" t="n">
        <v>1800000</v>
      </c>
      <c r="E8" s="16" t="s">
        <v>46</v>
      </c>
      <c r="F8" s="17" t="s">
        <v>47</v>
      </c>
    </row>
    <row r="9" customFormat="false" ht="15" hidden="false" customHeight="false" outlineLevel="0" collapsed="false">
      <c r="A9" s="18" t="s">
        <v>48</v>
      </c>
      <c r="B9" s="19" t="n">
        <v>2</v>
      </c>
      <c r="C9" s="20" t="n">
        <v>22</v>
      </c>
      <c r="D9" s="21" t="n">
        <v>1400000</v>
      </c>
      <c r="E9" s="22" t="s">
        <v>49</v>
      </c>
      <c r="F9" s="23" t="s">
        <v>50</v>
      </c>
    </row>
    <row r="10" customFormat="false" ht="15" hidden="false" customHeight="false" outlineLevel="0" collapsed="false">
      <c r="A10" s="12" t="s">
        <v>51</v>
      </c>
      <c r="B10" s="13" t="n">
        <v>1</v>
      </c>
      <c r="C10" s="14" t="n">
        <v>14</v>
      </c>
      <c r="D10" s="15" t="n">
        <v>600000</v>
      </c>
      <c r="E10" s="24" t="s">
        <v>49</v>
      </c>
      <c r="F10" s="17" t="s">
        <v>52</v>
      </c>
    </row>
    <row r="11" customFormat="false" ht="15" hidden="false" customHeight="false" outlineLevel="0" collapsed="false">
      <c r="A11" s="18" t="s">
        <v>53</v>
      </c>
      <c r="B11" s="19" t="n">
        <v>1</v>
      </c>
      <c r="C11" s="20" t="n">
        <v>47</v>
      </c>
      <c r="D11" s="21" t="n">
        <v>400000</v>
      </c>
      <c r="E11" s="25" t="s">
        <v>46</v>
      </c>
      <c r="F11" s="23" t="s">
        <v>54</v>
      </c>
    </row>
    <row r="12" customFormat="false" ht="15" hidden="false" customHeight="false" outlineLevel="0" collapsed="false">
      <c r="A12" s="26" t="s">
        <v>55</v>
      </c>
      <c r="B12" s="27" t="n">
        <f aca="false">SUM(B8:B11)</f>
        <v>7</v>
      </c>
      <c r="C12" s="27" t="n">
        <f aca="false">AVERAGE(C8:C11)</f>
        <v>27.75</v>
      </c>
      <c r="D12" s="28" t="n">
        <f aca="false">SUM(D8:D11)</f>
        <v>4200000</v>
      </c>
    </row>
    <row r="14" customFormat="false" ht="15" hidden="false" customHeight="false" outlineLevel="0" collapsed="false">
      <c r="A14" s="7" t="s">
        <v>56</v>
      </c>
    </row>
    <row r="15" customFormat="false" ht="15" hidden="false" customHeight="false" outlineLevel="0" collapsed="false">
      <c r="A15" s="11" t="s">
        <v>39</v>
      </c>
      <c r="B15" s="11" t="s">
        <v>57</v>
      </c>
      <c r="C15" s="11" t="s">
        <v>58</v>
      </c>
      <c r="D15" s="11" t="s">
        <v>59</v>
      </c>
      <c r="E15" s="11" t="s">
        <v>60</v>
      </c>
      <c r="F15" s="11" t="s">
        <v>61</v>
      </c>
    </row>
    <row r="16" customFormat="false" ht="15" hidden="false" customHeight="false" outlineLevel="0" collapsed="false">
      <c r="A16" s="12" t="s">
        <v>45</v>
      </c>
      <c r="B16" s="29" t="n">
        <v>4</v>
      </c>
      <c r="C16" s="30" t="n">
        <v>8.4</v>
      </c>
      <c r="D16" s="14" t="n">
        <v>12400</v>
      </c>
      <c r="E16" s="14" t="n">
        <v>4200</v>
      </c>
      <c r="F16" s="14" t="n">
        <v>11.2</v>
      </c>
    </row>
    <row r="17" customFormat="false" ht="15" hidden="false" customHeight="false" outlineLevel="0" collapsed="false">
      <c r="A17" s="18" t="s">
        <v>48</v>
      </c>
      <c r="B17" s="31" t="n">
        <v>4</v>
      </c>
      <c r="C17" s="32" t="n">
        <v>5.2</v>
      </c>
      <c r="D17" s="20" t="n">
        <v>9800</v>
      </c>
      <c r="E17" s="20" t="n">
        <v>1800</v>
      </c>
      <c r="F17" s="20" t="n">
        <v>10.8</v>
      </c>
    </row>
    <row r="18" customFormat="false" ht="15" hidden="false" customHeight="false" outlineLevel="0" collapsed="false">
      <c r="A18" s="12" t="s">
        <v>51</v>
      </c>
      <c r="B18" s="29" t="n">
        <v>4</v>
      </c>
      <c r="C18" s="30" t="n">
        <v>4.8</v>
      </c>
      <c r="D18" s="14" t="n">
        <v>4200</v>
      </c>
      <c r="E18" s="14" t="n">
        <v>900</v>
      </c>
      <c r="F18" s="14" t="n">
        <v>10.2</v>
      </c>
    </row>
    <row r="19" customFormat="false" ht="15" hidden="false" customHeight="false" outlineLevel="0" collapsed="false">
      <c r="A19" s="18" t="s">
        <v>53</v>
      </c>
      <c r="B19" s="31" t="n">
        <v>4</v>
      </c>
      <c r="C19" s="32" t="n">
        <v>7.1</v>
      </c>
      <c r="D19" s="20" t="n">
        <v>3600</v>
      </c>
      <c r="E19" s="20" t="n">
        <v>1600</v>
      </c>
      <c r="F19" s="20" t="n">
        <v>12.4</v>
      </c>
    </row>
    <row r="21" customFormat="false" ht="15" hidden="false" customHeight="false" outlineLevel="0" collapsed="false">
      <c r="A21" s="7" t="s">
        <v>62</v>
      </c>
    </row>
    <row r="22" customFormat="false" ht="15" hidden="false" customHeight="false" outlineLevel="0" collapsed="false">
      <c r="A22" s="11" t="s">
        <v>63</v>
      </c>
      <c r="B22" s="11" t="s">
        <v>64</v>
      </c>
      <c r="C22" s="11" t="s">
        <v>65</v>
      </c>
    </row>
    <row r="23" customFormat="false" ht="15" hidden="false" customHeight="false" outlineLevel="0" collapsed="false">
      <c r="A23" s="33" t="s">
        <v>66</v>
      </c>
      <c r="B23" s="34" t="s">
        <v>67</v>
      </c>
      <c r="C23" s="35" t="s">
        <v>68</v>
      </c>
    </row>
    <row r="24" customFormat="false" ht="15" hidden="false" customHeight="false" outlineLevel="0" collapsed="false">
      <c r="A24" s="36" t="s">
        <v>69</v>
      </c>
      <c r="B24" s="37" t="s">
        <v>70</v>
      </c>
      <c r="C24" s="38" t="s">
        <v>71</v>
      </c>
    </row>
    <row r="25" customFormat="false" ht="15" hidden="false" customHeight="false" outlineLevel="0" collapsed="false">
      <c r="A25" s="33" t="s">
        <v>72</v>
      </c>
      <c r="B25" s="39" t="s">
        <v>73</v>
      </c>
      <c r="C25" s="35" t="s">
        <v>74</v>
      </c>
    </row>
    <row r="26" customFormat="false" ht="15" hidden="false" customHeight="false" outlineLevel="0" collapsed="false">
      <c r="A26" s="36" t="s">
        <v>75</v>
      </c>
      <c r="B26" s="40" t="s">
        <v>76</v>
      </c>
      <c r="C26" s="38" t="s">
        <v>77</v>
      </c>
    </row>
    <row r="27" customFormat="false" ht="15" hidden="false" customHeight="false" outlineLevel="0" collapsed="false">
      <c r="A27" s="33" t="s">
        <v>78</v>
      </c>
      <c r="B27" s="34" t="s">
        <v>79</v>
      </c>
      <c r="C27" s="35" t="s">
        <v>71</v>
      </c>
    </row>
    <row r="28" customFormat="false" ht="15" hidden="false" customHeight="false" outlineLevel="0" collapsed="false">
      <c r="A28" s="36" t="s">
        <v>80</v>
      </c>
      <c r="B28" s="40" t="s">
        <v>81</v>
      </c>
      <c r="C28" s="38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6" min="2" style="0" width="12"/>
    <col collapsed="false" customWidth="true" hidden="false" outlineLevel="0" max="7" min="7" style="0" width="18"/>
  </cols>
  <sheetData>
    <row r="1" customFormat="false" ht="36" hidden="false" customHeight="true" outlineLevel="0" collapsed="false">
      <c r="A1" s="1" t="s">
        <v>83</v>
      </c>
    </row>
    <row r="2" customFormat="false" ht="19.5" hidden="false" customHeight="true" outlineLevel="0" collapsed="false">
      <c r="A2" s="2" t="s">
        <v>84</v>
      </c>
    </row>
    <row r="3" customFormat="false" ht="15.75" hidden="false" customHeight="true" outlineLevel="0" collapsed="false">
      <c r="A3" s="3" t="s">
        <v>85</v>
      </c>
    </row>
    <row r="4" customFormat="false" ht="15.75" hidden="false" customHeight="true" outlineLevel="0" collapsed="false"/>
    <row r="6" customFormat="false" ht="15" hidden="false" customHeight="false" outlineLevel="0" collapsed="false">
      <c r="A6" s="7" t="s">
        <v>86</v>
      </c>
    </row>
    <row r="7" customFormat="false" ht="15" hidden="false" customHeight="false" outlineLevel="0" collapsed="false">
      <c r="A7" s="11" t="s">
        <v>87</v>
      </c>
      <c r="B7" s="41" t="s">
        <v>45</v>
      </c>
      <c r="C7" s="41" t="s">
        <v>48</v>
      </c>
      <c r="D7" s="41" t="s">
        <v>51</v>
      </c>
      <c r="E7" s="41" t="s">
        <v>53</v>
      </c>
      <c r="F7" s="41" t="s">
        <v>88</v>
      </c>
      <c r="G7" s="41" t="s">
        <v>89</v>
      </c>
    </row>
    <row r="8" customFormat="false" ht="15" hidden="false" customHeight="false" outlineLevel="0" collapsed="false">
      <c r="A8" s="33" t="s">
        <v>90</v>
      </c>
      <c r="B8" s="42" t="n">
        <v>138</v>
      </c>
      <c r="C8" s="43" t="n">
        <v>98</v>
      </c>
      <c r="D8" s="43" t="n">
        <v>104</v>
      </c>
      <c r="E8" s="43" t="n">
        <v>110</v>
      </c>
      <c r="F8" s="44" t="n">
        <v>100</v>
      </c>
      <c r="G8" s="45" t="n">
        <f aca="false">ABS(B8-F8)/F8</f>
        <v>0.38</v>
      </c>
    </row>
    <row r="9" customFormat="false" ht="15" hidden="false" customHeight="false" outlineLevel="0" collapsed="false">
      <c r="A9" s="36" t="s">
        <v>91</v>
      </c>
      <c r="B9" s="46" t="n">
        <v>142</v>
      </c>
      <c r="C9" s="47" t="n">
        <v>100</v>
      </c>
      <c r="D9" s="47" t="n">
        <v>102</v>
      </c>
      <c r="E9" s="47" t="n">
        <v>108</v>
      </c>
      <c r="F9" s="48" t="n">
        <v>100</v>
      </c>
      <c r="G9" s="49" t="n">
        <f aca="false">ABS(B9-F9)/F9</f>
        <v>0.42</v>
      </c>
    </row>
    <row r="10" customFormat="false" ht="15" hidden="false" customHeight="false" outlineLevel="0" collapsed="false">
      <c r="A10" s="33" t="s">
        <v>92</v>
      </c>
      <c r="B10" s="42" t="n">
        <v>136</v>
      </c>
      <c r="C10" s="43" t="n">
        <v>105</v>
      </c>
      <c r="D10" s="43" t="n">
        <v>100</v>
      </c>
      <c r="E10" s="43" t="n">
        <v>112</v>
      </c>
      <c r="F10" s="44" t="n">
        <v>100</v>
      </c>
      <c r="G10" s="45" t="n">
        <f aca="false">ABS(B10-F10)/F10</f>
        <v>0.36</v>
      </c>
    </row>
    <row r="11" customFormat="false" ht="15" hidden="false" customHeight="false" outlineLevel="0" collapsed="false">
      <c r="A11" s="36" t="s">
        <v>93</v>
      </c>
      <c r="B11" s="47" t="n">
        <v>108</v>
      </c>
      <c r="C11" s="47" t="n">
        <v>102</v>
      </c>
      <c r="D11" s="47" t="n">
        <v>98</v>
      </c>
      <c r="E11" s="47" t="n">
        <v>106</v>
      </c>
      <c r="F11" s="48" t="n">
        <v>100</v>
      </c>
      <c r="G11" s="50" t="n">
        <f aca="false">ABS(B11-F11)/F11</f>
        <v>0.08</v>
      </c>
    </row>
    <row r="12" customFormat="false" ht="15" hidden="false" customHeight="false" outlineLevel="0" collapsed="false">
      <c r="A12" s="33" t="s">
        <v>94</v>
      </c>
      <c r="B12" s="43" t="n">
        <v>96</v>
      </c>
      <c r="C12" s="43" t="n">
        <v>99</v>
      </c>
      <c r="D12" s="43" t="n">
        <v>96</v>
      </c>
      <c r="E12" s="43" t="n">
        <v>96</v>
      </c>
      <c r="F12" s="44" t="n">
        <v>100</v>
      </c>
      <c r="G12" s="51" t="n">
        <f aca="false">ABS(B12-F12)/F12</f>
        <v>0.04</v>
      </c>
    </row>
    <row r="13" customFormat="false" ht="15" hidden="false" customHeight="false" outlineLevel="0" collapsed="false">
      <c r="A13" s="36" t="s">
        <v>95</v>
      </c>
      <c r="B13" s="47" t="n">
        <v>92</v>
      </c>
      <c r="C13" s="47" t="n">
        <v>96</v>
      </c>
      <c r="D13" s="47" t="n">
        <v>98</v>
      </c>
      <c r="E13" s="47" t="n">
        <v>90</v>
      </c>
      <c r="F13" s="48" t="n">
        <v>100</v>
      </c>
      <c r="G13" s="50" t="n">
        <f aca="false">ABS(B13-F13)/F13</f>
        <v>0.08</v>
      </c>
    </row>
    <row r="14" customFormat="false" ht="15" hidden="false" customHeight="false" outlineLevel="0" collapsed="false">
      <c r="A14" s="33" t="s">
        <v>96</v>
      </c>
      <c r="B14" s="43" t="n">
        <v>94</v>
      </c>
      <c r="C14" s="43" t="n">
        <v>98</v>
      </c>
      <c r="D14" s="43" t="n">
        <v>100</v>
      </c>
      <c r="E14" s="43" t="n">
        <v>88</v>
      </c>
      <c r="F14" s="44" t="n">
        <v>100</v>
      </c>
      <c r="G14" s="51" t="n">
        <f aca="false">ABS(B14-F14)/F14</f>
        <v>0.06</v>
      </c>
    </row>
    <row r="15" customFormat="false" ht="15" hidden="false" customHeight="false" outlineLevel="0" collapsed="false">
      <c r="A15" s="36" t="s">
        <v>97</v>
      </c>
      <c r="B15" s="47" t="n">
        <v>98</v>
      </c>
      <c r="C15" s="47" t="n">
        <v>101</v>
      </c>
      <c r="D15" s="47" t="n">
        <v>102</v>
      </c>
      <c r="E15" s="47" t="n">
        <v>90</v>
      </c>
      <c r="F15" s="48" t="n">
        <v>100</v>
      </c>
      <c r="G15" s="50" t="n">
        <f aca="false">ABS(B15-F15)/F15</f>
        <v>0.02</v>
      </c>
    </row>
    <row r="16" customFormat="false" ht="15" hidden="false" customHeight="false" outlineLevel="0" collapsed="false">
      <c r="A16" s="33" t="s">
        <v>98</v>
      </c>
      <c r="B16" s="43" t="n">
        <v>102</v>
      </c>
      <c r="C16" s="43" t="n">
        <v>103</v>
      </c>
      <c r="D16" s="43" t="n">
        <v>104</v>
      </c>
      <c r="E16" s="43" t="n">
        <v>92</v>
      </c>
      <c r="F16" s="44" t="n">
        <v>100</v>
      </c>
      <c r="G16" s="51" t="n">
        <f aca="false">ABS(B16-F16)/F16</f>
        <v>0.02</v>
      </c>
    </row>
    <row r="17" customFormat="false" ht="15" hidden="false" customHeight="false" outlineLevel="0" collapsed="false">
      <c r="A17" s="36" t="s">
        <v>99</v>
      </c>
      <c r="B17" s="47" t="n">
        <v>105</v>
      </c>
      <c r="C17" s="47" t="n">
        <v>104</v>
      </c>
      <c r="D17" s="47" t="n">
        <v>105</v>
      </c>
      <c r="E17" s="47" t="n">
        <v>96</v>
      </c>
      <c r="F17" s="48" t="n">
        <v>100</v>
      </c>
      <c r="G17" s="50" t="n">
        <f aca="false">ABS(B17-F17)/F17</f>
        <v>0.05</v>
      </c>
    </row>
    <row r="18" customFormat="false" ht="15" hidden="false" customHeight="false" outlineLevel="0" collapsed="false">
      <c r="A18" s="33" t="s">
        <v>100</v>
      </c>
      <c r="B18" s="43" t="n">
        <v>108</v>
      </c>
      <c r="C18" s="43" t="n">
        <v>106</v>
      </c>
      <c r="D18" s="43" t="n">
        <v>106</v>
      </c>
      <c r="E18" s="43" t="n">
        <v>100</v>
      </c>
      <c r="F18" s="44" t="n">
        <v>100</v>
      </c>
      <c r="G18" s="51" t="n">
        <f aca="false">ABS(B18-F18)/F18</f>
        <v>0.08</v>
      </c>
    </row>
    <row r="19" customFormat="false" ht="15" hidden="false" customHeight="false" outlineLevel="0" collapsed="false">
      <c r="A19" s="36" t="s">
        <v>101</v>
      </c>
      <c r="B19" s="47" t="n">
        <v>112</v>
      </c>
      <c r="C19" s="47" t="n">
        <v>108</v>
      </c>
      <c r="D19" s="47" t="n">
        <v>108</v>
      </c>
      <c r="E19" s="47" t="n">
        <v>106</v>
      </c>
      <c r="F19" s="48" t="n">
        <v>100</v>
      </c>
      <c r="G19" s="50" t="n">
        <f aca="false">ABS(B19-F19)/F19</f>
        <v>0.12</v>
      </c>
    </row>
    <row r="20" customFormat="false" ht="15" hidden="false" customHeight="false" outlineLevel="0" collapsed="false">
      <c r="A20" s="33" t="s">
        <v>102</v>
      </c>
      <c r="B20" s="42" t="n">
        <v>140</v>
      </c>
      <c r="C20" s="43" t="n">
        <v>100</v>
      </c>
      <c r="D20" s="43" t="n">
        <v>106</v>
      </c>
      <c r="E20" s="43" t="n">
        <v>114</v>
      </c>
      <c r="F20" s="44" t="n">
        <v>100</v>
      </c>
      <c r="G20" s="45" t="n">
        <f aca="false">ABS(B20-F20)/F20</f>
        <v>0.4</v>
      </c>
    </row>
    <row r="21" customFormat="false" ht="15" hidden="false" customHeight="false" outlineLevel="0" collapsed="false">
      <c r="A21" s="36" t="s">
        <v>103</v>
      </c>
      <c r="B21" s="46" t="n">
        <v>145</v>
      </c>
      <c r="C21" s="47" t="n">
        <v>102</v>
      </c>
      <c r="D21" s="47" t="n">
        <v>103</v>
      </c>
      <c r="E21" s="47" t="n">
        <v>112</v>
      </c>
      <c r="F21" s="48" t="n">
        <v>100</v>
      </c>
      <c r="G21" s="49" t="n">
        <f aca="false">ABS(B21-F21)/F21</f>
        <v>0.45</v>
      </c>
    </row>
    <row r="22" customFormat="false" ht="15" hidden="false" customHeight="false" outlineLevel="0" collapsed="false">
      <c r="A22" s="33" t="s">
        <v>104</v>
      </c>
      <c r="B22" s="42" t="n">
        <v>138</v>
      </c>
      <c r="C22" s="43" t="n">
        <v>106</v>
      </c>
      <c r="D22" s="43" t="n">
        <v>101</v>
      </c>
      <c r="E22" s="43" t="n">
        <v>115</v>
      </c>
      <c r="F22" s="44" t="n">
        <v>100</v>
      </c>
      <c r="G22" s="45" t="n">
        <f aca="false">ABS(B22-F22)/F22</f>
        <v>0.38</v>
      </c>
    </row>
    <row r="23" customFormat="false" ht="15" hidden="false" customHeight="false" outlineLevel="0" collapsed="false">
      <c r="A23" s="36" t="s">
        <v>105</v>
      </c>
      <c r="B23" s="47" t="n">
        <v>110</v>
      </c>
      <c r="C23" s="47" t="n">
        <v>103</v>
      </c>
      <c r="D23" s="47" t="n">
        <v>99</v>
      </c>
      <c r="E23" s="47" t="n">
        <v>108</v>
      </c>
      <c r="F23" s="48" t="n">
        <v>100</v>
      </c>
      <c r="G23" s="50" t="n">
        <f aca="false">ABS(B23-F23)/F23</f>
        <v>0.1</v>
      </c>
    </row>
    <row r="24" customFormat="false" ht="15" hidden="false" customHeight="false" outlineLevel="0" collapsed="false">
      <c r="A24" s="33" t="s">
        <v>106</v>
      </c>
      <c r="B24" s="43" t="n">
        <v>98</v>
      </c>
      <c r="C24" s="43" t="n">
        <v>100</v>
      </c>
      <c r="D24" s="43" t="n">
        <v>97</v>
      </c>
      <c r="E24" s="43" t="n">
        <v>98</v>
      </c>
      <c r="F24" s="44" t="n">
        <v>100</v>
      </c>
      <c r="G24" s="51" t="n">
        <f aca="false">ABS(B24-F24)/F24</f>
        <v>0.02</v>
      </c>
    </row>
    <row r="25" customFormat="false" ht="15" hidden="false" customHeight="false" outlineLevel="0" collapsed="false">
      <c r="A25" s="36" t="s">
        <v>107</v>
      </c>
      <c r="B25" s="47" t="n">
        <v>94</v>
      </c>
      <c r="C25" s="47" t="n">
        <v>97</v>
      </c>
      <c r="D25" s="47" t="n">
        <v>99</v>
      </c>
      <c r="E25" s="47" t="n">
        <v>92</v>
      </c>
      <c r="F25" s="48" t="n">
        <v>100</v>
      </c>
      <c r="G25" s="50" t="n">
        <f aca="false">ABS(B25-F25)/F25</f>
        <v>0.06</v>
      </c>
    </row>
    <row r="26" customFormat="false" ht="15" hidden="false" customHeight="false" outlineLevel="0" collapsed="false">
      <c r="A26" s="52" t="s">
        <v>108</v>
      </c>
      <c r="G26" s="53" t="n">
        <f aca="false">AVERAGE(G8:G25)</f>
        <v>0.173333333333333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6"/>
  </cols>
  <sheetData>
    <row r="1" customFormat="false" ht="36" hidden="false" customHeight="true" outlineLevel="0" collapsed="false">
      <c r="A1" s="1" t="s">
        <v>109</v>
      </c>
    </row>
    <row r="2" customFormat="false" ht="19.5" hidden="false" customHeight="true" outlineLevel="0" collapsed="false">
      <c r="A2" s="2" t="s">
        <v>110</v>
      </c>
    </row>
    <row r="3" customFormat="false" ht="15.75" hidden="false" customHeight="true" outlineLevel="0" collapsed="false">
      <c r="A3" s="3" t="s">
        <v>111</v>
      </c>
    </row>
    <row r="4" customFormat="false" ht="15.75" hidden="false" customHeight="true" outlineLevel="0" collapsed="false"/>
    <row r="6" customFormat="false" ht="15" hidden="false" customHeight="false" outlineLevel="0" collapsed="false">
      <c r="A6" s="7" t="s">
        <v>112</v>
      </c>
    </row>
    <row r="7" customFormat="false" ht="15" hidden="false" customHeight="false" outlineLevel="0" collapsed="false">
      <c r="A7" s="11" t="s">
        <v>39</v>
      </c>
      <c r="B7" s="11" t="s">
        <v>60</v>
      </c>
      <c r="C7" s="11" t="s">
        <v>113</v>
      </c>
      <c r="D7" s="11" t="s">
        <v>114</v>
      </c>
      <c r="E7" s="11" t="s">
        <v>115</v>
      </c>
      <c r="F7" s="11" t="s">
        <v>116</v>
      </c>
    </row>
    <row r="8" customFormat="false" ht="15" hidden="false" customHeight="false" outlineLevel="0" collapsed="false">
      <c r="A8" s="12" t="s">
        <v>45</v>
      </c>
      <c r="B8" s="14" t="n">
        <v>4200</v>
      </c>
      <c r="C8" s="14" t="n">
        <v>14</v>
      </c>
      <c r="D8" s="35" t="s">
        <v>117</v>
      </c>
      <c r="E8" s="30" t="n">
        <v>8.4</v>
      </c>
      <c r="F8" s="54" t="n">
        <v>4</v>
      </c>
    </row>
    <row r="9" customFormat="false" ht="15" hidden="false" customHeight="false" outlineLevel="0" collapsed="false">
      <c r="A9" s="18" t="s">
        <v>48</v>
      </c>
      <c r="B9" s="20" t="n">
        <v>1800</v>
      </c>
      <c r="C9" s="20" t="n">
        <v>14</v>
      </c>
      <c r="D9" s="38" t="s">
        <v>117</v>
      </c>
      <c r="E9" s="32" t="n">
        <v>5.2</v>
      </c>
      <c r="F9" s="55" t="n">
        <v>4</v>
      </c>
    </row>
    <row r="10" customFormat="false" ht="15" hidden="false" customHeight="false" outlineLevel="0" collapsed="false">
      <c r="A10" s="12" t="s">
        <v>51</v>
      </c>
      <c r="B10" s="14" t="n">
        <v>900</v>
      </c>
      <c r="C10" s="14" t="n">
        <v>14</v>
      </c>
      <c r="D10" s="35" t="s">
        <v>117</v>
      </c>
      <c r="E10" s="30" t="n">
        <v>4.8</v>
      </c>
      <c r="F10" s="54" t="n">
        <v>4</v>
      </c>
    </row>
    <row r="11" customFormat="false" ht="15" hidden="false" customHeight="false" outlineLevel="0" collapsed="false">
      <c r="A11" s="18" t="s">
        <v>53</v>
      </c>
      <c r="B11" s="20" t="n">
        <v>1600</v>
      </c>
      <c r="C11" s="20" t="n">
        <v>14</v>
      </c>
      <c r="D11" s="38" t="s">
        <v>117</v>
      </c>
      <c r="E11" s="32" t="n">
        <v>7.1</v>
      </c>
      <c r="F11" s="55" t="n">
        <v>4</v>
      </c>
    </row>
    <row r="13" customFormat="false" ht="15" hidden="false" customHeight="false" outlineLevel="0" collapsed="false">
      <c r="A13" s="7" t="s">
        <v>118</v>
      </c>
    </row>
    <row r="14" customFormat="false" ht="15" hidden="false" customHeight="false" outlineLevel="0" collapsed="false">
      <c r="A14" s="11" t="s">
        <v>119</v>
      </c>
      <c r="B14" s="11" t="s">
        <v>120</v>
      </c>
      <c r="C14" s="11" t="s">
        <v>121</v>
      </c>
      <c r="D14" s="11" t="s">
        <v>122</v>
      </c>
      <c r="E14" s="11" t="s">
        <v>123</v>
      </c>
      <c r="F14" s="11" t="s">
        <v>124</v>
      </c>
    </row>
    <row r="15" customFormat="false" ht="15" hidden="false" customHeight="false" outlineLevel="0" collapsed="false">
      <c r="A15" s="16" t="s">
        <v>125</v>
      </c>
      <c r="B15" s="30" t="n">
        <v>4.7</v>
      </c>
      <c r="C15" s="56" t="s">
        <v>126</v>
      </c>
      <c r="D15" s="57" t="n">
        <v>0</v>
      </c>
      <c r="E15" s="57" t="n">
        <v>0</v>
      </c>
      <c r="F15" s="57" t="n">
        <v>0</v>
      </c>
    </row>
    <row r="16" customFormat="false" ht="15" hidden="false" customHeight="false" outlineLevel="0" collapsed="false">
      <c r="A16" s="58" t="s">
        <v>127</v>
      </c>
      <c r="B16" s="32" t="n">
        <v>2.8</v>
      </c>
      <c r="C16" s="59" t="n">
        <f aca="false">B16-B15</f>
        <v>-1.9</v>
      </c>
      <c r="D16" s="60" t="n">
        <v>200000</v>
      </c>
      <c r="E16" s="60" t="n">
        <v>840000</v>
      </c>
      <c r="F16" s="61" t="n">
        <f aca="false">E16-D16</f>
        <v>640000</v>
      </c>
    </row>
    <row r="17" customFormat="false" ht="15" hidden="false" customHeight="false" outlineLevel="0" collapsed="false">
      <c r="A17" s="62" t="s">
        <v>128</v>
      </c>
      <c r="B17" s="63" t="n">
        <v>1.4</v>
      </c>
      <c r="C17" s="64" t="n">
        <f aca="false">B17-B15</f>
        <v>-3.3</v>
      </c>
      <c r="D17" s="65" t="n">
        <v>650000</v>
      </c>
      <c r="E17" s="65" t="n">
        <v>2240000</v>
      </c>
      <c r="F17" s="66" t="n">
        <f aca="false">E17-D17</f>
        <v>1590000</v>
      </c>
    </row>
    <row r="18" customFormat="false" ht="15" hidden="false" customHeight="false" outlineLevel="0" collapsed="false">
      <c r="A18" s="67" t="s">
        <v>129</v>
      </c>
      <c r="B18" s="68" t="n">
        <v>0.8</v>
      </c>
      <c r="C18" s="59" t="n">
        <f aca="false">B18-B15</f>
        <v>-3.9</v>
      </c>
      <c r="D18" s="60" t="n">
        <v>900000</v>
      </c>
      <c r="E18" s="60" t="n">
        <v>3360000</v>
      </c>
      <c r="F18" s="69" t="n">
        <f aca="false">E18-D18</f>
        <v>2460000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20"/>
  </cols>
  <sheetData>
    <row r="1" customFormat="false" ht="36" hidden="false" customHeight="true" outlineLevel="0" collapsed="false">
      <c r="A1" s="1" t="s">
        <v>130</v>
      </c>
    </row>
    <row r="2" customFormat="false" ht="19.5" hidden="false" customHeight="true" outlineLevel="0" collapsed="false">
      <c r="A2" s="2" t="s">
        <v>131</v>
      </c>
    </row>
    <row r="3" customFormat="false" ht="15.75" hidden="false" customHeight="true" outlineLevel="0" collapsed="false">
      <c r="A3" s="3" t="s">
        <v>132</v>
      </c>
    </row>
    <row r="4" customFormat="false" ht="15.75" hidden="false" customHeight="true" outlineLevel="0" collapsed="false"/>
    <row r="6" customFormat="false" ht="15" hidden="false" customHeight="false" outlineLevel="0" collapsed="false">
      <c r="A6" s="7" t="s">
        <v>133</v>
      </c>
    </row>
    <row r="7" customFormat="false" ht="15" hidden="false" customHeight="false" outlineLevel="0" collapsed="false">
      <c r="A7" s="70" t="s">
        <v>134</v>
      </c>
      <c r="B7" s="13" t="s">
        <v>17</v>
      </c>
    </row>
    <row r="8" customFormat="false" ht="15" hidden="false" customHeight="false" outlineLevel="0" collapsed="false">
      <c r="A8" s="71" t="s">
        <v>135</v>
      </c>
      <c r="B8" s="19" t="s">
        <v>19</v>
      </c>
    </row>
    <row r="9" customFormat="false" ht="15" hidden="false" customHeight="false" outlineLevel="0" collapsed="false">
      <c r="A9" s="70" t="s">
        <v>20</v>
      </c>
      <c r="B9" s="13" t="s">
        <v>136</v>
      </c>
    </row>
    <row r="10" customFormat="false" ht="15" hidden="false" customHeight="false" outlineLevel="0" collapsed="false">
      <c r="A10" s="71" t="s">
        <v>137</v>
      </c>
      <c r="B10" s="19" t="s">
        <v>138</v>
      </c>
    </row>
    <row r="11" customFormat="false" ht="15" hidden="false" customHeight="false" outlineLevel="0" collapsed="false">
      <c r="A11" s="70" t="s">
        <v>139</v>
      </c>
      <c r="B11" s="13" t="s">
        <v>140</v>
      </c>
    </row>
    <row r="12" customFormat="false" ht="15" hidden="false" customHeight="false" outlineLevel="0" collapsed="false">
      <c r="A12" s="71" t="s">
        <v>141</v>
      </c>
      <c r="B12" s="72" t="s">
        <v>142</v>
      </c>
    </row>
    <row r="14" customFormat="false" ht="15" hidden="false" customHeight="false" outlineLevel="0" collapsed="false">
      <c r="A14" s="7" t="s">
        <v>143</v>
      </c>
    </row>
    <row r="15" customFormat="false" ht="15" hidden="false" customHeight="false" outlineLevel="0" collapsed="false">
      <c r="A15" s="4" t="s">
        <v>144</v>
      </c>
      <c r="B15" s="4" t="s">
        <v>145</v>
      </c>
      <c r="C15" s="4" t="s">
        <v>146</v>
      </c>
      <c r="D15" s="4" t="s">
        <v>147</v>
      </c>
    </row>
    <row r="16" customFormat="false" ht="27.75" hidden="false" customHeight="true" outlineLevel="0" collapsed="false">
      <c r="A16" s="73" t="s">
        <v>148</v>
      </c>
      <c r="B16" s="74" t="s">
        <v>149</v>
      </c>
      <c r="C16" s="75" t="s">
        <v>150</v>
      </c>
      <c r="D16" s="70" t="s">
        <v>151</v>
      </c>
    </row>
    <row r="17" customFormat="false" ht="27.75" hidden="false" customHeight="true" outlineLevel="0" collapsed="false">
      <c r="A17" s="76" t="s">
        <v>152</v>
      </c>
      <c r="B17" s="77" t="s">
        <v>153</v>
      </c>
      <c r="C17" s="78" t="s">
        <v>154</v>
      </c>
      <c r="D17" s="71" t="s">
        <v>155</v>
      </c>
    </row>
    <row r="18" customFormat="false" ht="27.75" hidden="false" customHeight="true" outlineLevel="0" collapsed="false">
      <c r="A18" s="73" t="s">
        <v>156</v>
      </c>
      <c r="B18" s="74" t="s">
        <v>157</v>
      </c>
      <c r="C18" s="75" t="s">
        <v>158</v>
      </c>
      <c r="D18" s="70" t="s">
        <v>151</v>
      </c>
    </row>
    <row r="19" customFormat="false" ht="27.75" hidden="false" customHeight="true" outlineLevel="0" collapsed="false">
      <c r="A19" s="76" t="s">
        <v>159</v>
      </c>
      <c r="B19" s="77" t="s">
        <v>160</v>
      </c>
      <c r="C19" s="78" t="s">
        <v>161</v>
      </c>
      <c r="D19" s="71" t="s">
        <v>162</v>
      </c>
    </row>
    <row r="21" customFormat="false" ht="15" hidden="false" customHeight="false" outlineLevel="0" collapsed="false">
      <c r="A21" s="7" t="s">
        <v>163</v>
      </c>
    </row>
    <row r="22" customFormat="false" ht="15" hidden="false" customHeight="false" outlineLevel="0" collapsed="false">
      <c r="A22" s="70" t="s">
        <v>164</v>
      </c>
      <c r="B22" s="79" t="s">
        <v>165</v>
      </c>
    </row>
    <row r="23" customFormat="false" ht="15" hidden="false" customHeight="false" outlineLevel="0" collapsed="false">
      <c r="A23" s="71" t="s">
        <v>166</v>
      </c>
      <c r="B23" s="80" t="s">
        <v>33</v>
      </c>
    </row>
    <row r="24" customFormat="false" ht="15" hidden="false" customHeight="false" outlineLevel="0" collapsed="false">
      <c r="A24" s="70" t="s">
        <v>167</v>
      </c>
      <c r="B24" s="81" t="s">
        <v>168</v>
      </c>
    </row>
    <row r="25" customFormat="false" ht="15" hidden="false" customHeight="false" outlineLevel="0" collapsed="false">
      <c r="A25" s="71" t="s">
        <v>169</v>
      </c>
      <c r="B25" s="80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2026-04-24T22:38:11Z</dcterms:created>
  <dc:creator>openpyxl</dc:creator>
  <dc:description/>
  <dc:language>en-US</dc:language>
  <cp:lastModifiedBy/>
  <dcterms:modified xsi:type="dcterms:W3CDTF">2026-04-24T22:38:11Z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